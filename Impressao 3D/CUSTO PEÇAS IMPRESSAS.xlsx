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15345" windowHeight="4455" activeTab="2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71027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B15" i="3"/>
  <c r="B9" i="5"/>
  <c r="B21" i="5"/>
  <c r="D21" i="5" s="1"/>
  <c r="B15" i="5"/>
  <c r="D15" i="5" s="1"/>
  <c r="B16" i="5"/>
  <c r="D16" i="5" s="1"/>
  <c r="B17" i="5"/>
  <c r="D17" i="5" s="1"/>
  <c r="B18" i="5"/>
  <c r="D18" i="5" s="1"/>
  <c r="B19" i="5"/>
  <c r="D19" i="5" s="1"/>
  <c r="B20" i="5"/>
  <c r="D20" i="5" s="1"/>
  <c r="B14" i="5"/>
  <c r="D14" i="5" s="1"/>
  <c r="B13" i="5"/>
  <c r="C12" i="4"/>
  <c r="D12" i="4"/>
  <c r="E12" i="4" s="1"/>
  <c r="B6" i="4"/>
  <c r="C6" i="4" s="1"/>
  <c r="D6" i="4" s="1"/>
  <c r="E6" i="4" s="1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C11" i="4" s="1"/>
  <c r="D11" i="4" s="1"/>
  <c r="E11" i="4" s="1"/>
  <c r="B12" i="4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<sst xmlns="http://schemas.openxmlformats.org/spreadsheetml/2006/main" count="135" uniqueCount="118">
  <si>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</si>
  <si>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</si>
  <si>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</si>
  <si>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</si>
  <si>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</si>
  <si>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</si>
  <si>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</si>
  <si>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</si>
  <si>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</si>
  <si>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</si>
  <si>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</si>
  <si>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</si>
  <si>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</si>
  <si>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</si>
  <si>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</si>
  <si>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</si>
  <si>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</si>
  <si>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</si>
  <si>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</si>
  <si>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</si>
  <si>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</si>
  <si>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</si>
  <si>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</si>
  <si>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</si>
  <si>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</si>
  <si>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</si>
  <si>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</si>
  <si>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</si>
  <si>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</si>
  <si>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</si>
  <si>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</si>
  <si>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</si>
  <si>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</si>
  <si>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</si>
  <si>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</si>
  <si>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</si>
  <si>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</si>
  <si>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</si>
  <si>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</si>
  <si>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</si>
  <si>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</si>
  <si>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</si>
  <si>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</si>
  <si>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</si>
  <si>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</si>
  <si>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</si>
  <si>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</si>
  <si>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</si>
  <si>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</si>
  <si>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</si>
  <si>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</si>
  <si>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</si>
  <si>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</si>
  <si>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</si>
  <si>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</si>
  <si>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</si>
  <si>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</si>
  <si>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</si>
  <si>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</si>
  <si>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</si>
  <si>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</si>
  <si>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</si>
  <si>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</si>
  <si>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</si>
  <si>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</si>
  <si>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</si>
  <si>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</si>
  <si>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</si>
  <si>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</si>
  <si>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</si>
  <si>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</si>
  <si>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</si>
  <si>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</si>
  <si>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</si>
  <si>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</si>
  <si>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</si>
  <si>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</si>
  <si>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</si>
  <si>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</si>
  <si>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</si>
  <si>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</si>
  <si>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</si>
  <si>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</si>
  <si>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</si>
  <si>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</si>
  <si>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</si>
  <si>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</si>
  <si>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</si>
  <si>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</si>
  <si>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</si>
  <si>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</si>
  <si>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</si>
  <si>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</si>
  <si>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</si>
  <si>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</si>
  <si>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</si>
  <si>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</si>
  <si>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</si>
  <si>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</si>
  <si>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</si>
  <si>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</si>
  <si>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</si>
  <si>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</si>
  <si>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</si>
  <si>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</si>
  <si>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</si>
  <si>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</si>
  <si>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</si>
  <si>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</si>
  <si>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</si>
  <si>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</si>
  <si>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</si>
  <si>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</si>
  <si>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</si>
  <si>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</si>
  <si>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</si>
  <si>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Nome Personalizado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</si>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</sst>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opLeftCell="A13" zoomScale="85" zoomScaleNormal="85" workbookViewId="0">
      <selection activeCell="A10" sqref="A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B8" sqref="B8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89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abSelected="1" topLeftCell="A7" zoomScale="130" zoomScaleNormal="130" workbookViewId="0">
      <selection activeCell="B18" sqref="B18"/>
    </sheetView>
  </sheetViews>
  <sheetFormatPr defaultRowHeight="15"/>
  <cols>
    <col min="1" max="1" width="33.5703125" style="2" customWidth="1"/>
    <col min="2" max="2" width="21.5703125" style="2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116</v>
      </c>
      <c r="E4" s="3">
        <v>1</v>
      </c>
      <c r="F4" s="20">
        <v>300</v>
      </c>
      <c r="G4" s="19">
        <f t="shared" ref="G4:G9" si="0">$B$18*(1+F4/100)</f>
        <v>89.724666666666664</v>
      </c>
      <c r="H4" s="19">
        <f t="shared" ref="H4:H9" si="1">G4*E4</f>
        <v>89.724666666666664</v>
      </c>
      <c r="I4" s="19">
        <f t="shared" ref="I4:I9" si="2">G4-$B$18</f>
        <v>67.293499999999995</v>
      </c>
      <c r="J4" s="19">
        <f t="shared" ref="J4:J9" si="3">I4*E4</f>
        <v>67.293499999999995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78.509083333333336</v>
      </c>
      <c r="H5" s="19">
        <f t="shared" si="1"/>
        <v>392.54541666666671</v>
      </c>
      <c r="I5" s="19">
        <f t="shared" si="2"/>
        <v>56.077916666666667</v>
      </c>
      <c r="J5" s="19">
        <f t="shared" si="3"/>
        <v>280.38958333333335</v>
      </c>
    </row>
    <row r="6" spans="1:10">
      <c r="A6" s="3" t="s">
        <v>58</v>
      </c>
      <c r="B6" s="23">
        <v>188</v>
      </c>
      <c r="E6" s="3">
        <v>10</v>
      </c>
      <c r="F6" s="20">
        <v>200</v>
      </c>
      <c r="G6" s="19">
        <f t="shared" si="0"/>
        <v>67.293499999999995</v>
      </c>
      <c r="H6" s="19">
        <f t="shared" si="1"/>
        <v>672.93499999999995</v>
      </c>
      <c r="I6" s="19">
        <f t="shared" si="2"/>
        <v>44.862333333333325</v>
      </c>
      <c r="J6" s="19">
        <f t="shared" si="3"/>
        <v>448.62333333333322</v>
      </c>
    </row>
    <row r="7" spans="1:10">
      <c r="A7" s="3" t="s">
        <v>59</v>
      </c>
      <c r="B7" s="23">
        <v>5</v>
      </c>
      <c r="E7" s="3">
        <v>25</v>
      </c>
      <c r="F7" s="20">
        <v>150</v>
      </c>
      <c r="G7" s="19">
        <f t="shared" si="0"/>
        <v>56.077916666666667</v>
      </c>
      <c r="H7" s="19">
        <f t="shared" si="1"/>
        <v>1401.9479166666667</v>
      </c>
      <c r="I7" s="19">
        <f t="shared" si="2"/>
        <v>33.646749999999997</v>
      </c>
      <c r="J7" s="19">
        <f t="shared" si="3"/>
        <v>841.16874999999993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49.34856666666667</v>
      </c>
      <c r="H8" s="19">
        <f t="shared" si="1"/>
        <v>2467.4283333333333</v>
      </c>
      <c r="I8" s="19">
        <f t="shared" si="2"/>
        <v>26.917400000000004</v>
      </c>
      <c r="J8" s="19">
        <f t="shared" si="3"/>
        <v>1345.8700000000001</v>
      </c>
    </row>
    <row r="9" spans="1:10">
      <c r="A9" s="3" t="s">
        <v>110</v>
      </c>
      <c r="B9" s="23" t="s">
        <v>117</v>
      </c>
      <c r="E9" s="3">
        <v>100</v>
      </c>
      <c r="F9" s="20">
        <v>100</v>
      </c>
      <c r="G9" s="19">
        <f t="shared" si="0"/>
        <v>44.862333333333332</v>
      </c>
      <c r="H9" s="19">
        <f t="shared" si="1"/>
        <v>4486.2333333333336</v>
      </c>
      <c r="I9" s="19">
        <f t="shared" si="2"/>
        <v>22.431166666666666</v>
      </c>
      <c r="J9" s="19">
        <f t="shared" si="3"/>
        <v>2243.1166666666668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40.376100000000001</v>
      </c>
      <c r="H10" s="19">
        <f>G10*E10</f>
        <v>20188.05</v>
      </c>
      <c r="I10" s="19">
        <f>G10-$B$18</f>
        <v>17.944933333333335</v>
      </c>
      <c r="J10" s="19">
        <f>I10*E10</f>
        <v>8972.4666666666672</v>
      </c>
    </row>
    <row r="11" spans="1:10">
      <c r="E11" s="3">
        <v>1000</v>
      </c>
      <c r="F11" s="20">
        <v>70</v>
      </c>
      <c r="G11" s="19">
        <f>$B$18*(1+F11/100)</f>
        <v>38.132983333333328</v>
      </c>
      <c r="H11" s="19">
        <f>G11*E11</f>
        <v>38132.98333333333</v>
      </c>
      <c r="I11" s="19">
        <f>G11-$B$18</f>
        <v>15.701816666666662</v>
      </c>
      <c r="J11" s="19">
        <f>I11*E11</f>
        <v>15701.816666666662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35.88986666666667</v>
      </c>
      <c r="H12" s="19">
        <f>G12*E12</f>
        <v>89724.666666666672</v>
      </c>
      <c r="I12" s="19">
        <f>G12-$B$18</f>
        <v>13.458700000000004</v>
      </c>
      <c r="J12" s="19">
        <f>I12*E12</f>
        <v>33646.750000000007</v>
      </c>
    </row>
    <row r="13" spans="1:10">
      <c r="A13" s="3" t="s">
        <v>63</v>
      </c>
      <c r="B13" s="38">
        <f>B6/1000*VLOOKUP(B5,Configurações!$A$7:$B$11,2,FALSE)</f>
        <v>16.731999999999999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1.5</v>
      </c>
    </row>
    <row r="15" spans="1:10">
      <c r="A15" s="3" t="s">
        <v>65</v>
      </c>
      <c r="B15" s="38">
        <f>VLOOKUP(B8,Configurações!$A$14:$B$22,2,FALSE)/(Configurações!$B$26*Configurações!$B$27)*B7</f>
        <v>4.1991666666666667</v>
      </c>
      <c r="E15" s="2"/>
      <c r="F15" s="2"/>
    </row>
    <row r="16" spans="1:10">
      <c r="A16" s="3" t="s">
        <v>66</v>
      </c>
      <c r="B16" s="38">
        <f>B13+B14+B15</f>
        <v>22.431166666666666</v>
      </c>
    </row>
    <row r="17" spans="1:10">
      <c r="A17" s="3" t="s">
        <v>67</v>
      </c>
      <c r="B17" s="38">
        <f>IF(B9="SIM",B16*(1+Configurações!$B$33/100),B16)</f>
        <v>22.431166666666666</v>
      </c>
    </row>
    <row r="18" spans="1:10">
      <c r="A18" s="3" t="s">
        <v>68</v>
      </c>
      <c r="B18" s="38">
        <f>B17</f>
        <v>22.431166666666666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4.4862333333333337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opLeftCell="A10" zoomScale="145" zoomScaleNormal="145" workbookViewId="0">
      <selection activeCell="C13" sqref="C13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Nome Personalizado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89.724666666666664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78.509083333333336</v>
      </c>
      <c r="D14" s="40">
        <f>ROUNDUP(((Calculadora!B7*B14+12)/Calculadora!B10)/24,0)</f>
        <v>2</v>
      </c>
    </row>
    <row r="15" spans="2:4">
      <c r="B15" s="24">
        <f>Calculadora!E6</f>
        <v>10</v>
      </c>
      <c r="C15" s="27">
        <f>Calculadora!G6</f>
        <v>67.293499999999995</v>
      </c>
      <c r="D15" s="39">
        <f>ROUNDUP((Calculadora!B7*B15+12)/Calculadora!B10/24,0)</f>
        <v>3</v>
      </c>
    </row>
    <row r="16" spans="2:4">
      <c r="B16" s="25">
        <f>Calculadora!E7</f>
        <v>25</v>
      </c>
      <c r="C16" s="26">
        <f>Calculadora!G7</f>
        <v>56.077916666666667</v>
      </c>
      <c r="D16" s="40">
        <f>ROUNDUP((Calculadora!B7*B16+12)/Calculadora!B10/24,0)</f>
        <v>6</v>
      </c>
    </row>
    <row r="17" spans="2:4">
      <c r="B17" s="24">
        <f>Calculadora!E8</f>
        <v>50</v>
      </c>
      <c r="C17" s="27">
        <f>Calculadora!G8</f>
        <v>49.34856666666667</v>
      </c>
      <c r="D17" s="39">
        <f>ROUNDUP((Calculadora!B7*B17+12)/Calculadora!B10/24,0)</f>
        <v>11</v>
      </c>
    </row>
    <row r="18" spans="2:4">
      <c r="B18" s="25">
        <f>Calculadora!E9</f>
        <v>100</v>
      </c>
      <c r="C18" s="26">
        <f>Calculadora!G9</f>
        <v>44.862333333333332</v>
      </c>
      <c r="D18" s="40">
        <f>ROUNDUP((Calculadora!B7*B18+12)/Calculadora!B10/24,0)</f>
        <v>22</v>
      </c>
    </row>
    <row r="19" spans="2:4">
      <c r="B19" s="24">
        <f>Calculadora!E10</f>
        <v>500</v>
      </c>
      <c r="C19" s="27">
        <f>Calculadora!G10</f>
        <v>40.376100000000001</v>
      </c>
      <c r="D19" s="39">
        <f>ROUNDUP((Calculadora!B7*B19+12)/Calculadora!B10/24,0)</f>
        <v>105</v>
      </c>
    </row>
    <row r="20" spans="2:4">
      <c r="B20" s="25">
        <f>Calculadora!E11</f>
        <v>1000</v>
      </c>
      <c r="C20" s="26">
        <f>Calculadora!G11</f>
        <v>38.132983333333328</v>
      </c>
      <c r="D20" s="40">
        <f>ROUNDUP((Calculadora!B7*B20+12)/Calculadora!B10/24,0)</f>
        <v>209</v>
      </c>
    </row>
    <row r="21" spans="2:4">
      <c r="B21" s="24">
        <f>Calculadora!E12</f>
        <v>2500</v>
      </c>
      <c r="C21" s="27">
        <f>Calculadora!G12</f>
        <v>35.88986666666667</v>
      </c>
      <c r="D21" s="39">
        <f>ROUNDUP((Calculadora!B7*B21+12)/Calculadora!B10/24,0)</f>
        <v>522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opLeftCell="A7"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cp:lastPrinted>2025-07-22T13:35:31Z</cp:lastPrinted>
  <dcterms:created xsi:type="dcterms:W3CDTF">2025-07-18T19:44:18Z</dcterms:created>
  <dcterms:modified xsi:type="dcterms:W3CDTF">2026-04-21T23:13:00Z</dcterms:modified>
</cp:coreProperties>
</file>