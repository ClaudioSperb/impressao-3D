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bookViews>
    <workbookView xWindow="0" yWindow="0" windowWidth="20490" windowHeight="7530" activeTab="3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7102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D17" i="5"/>
  <c r="B15" i="3"/>
  <c r="B9" i="5"/>
  <c r="B21" i="5"/>
  <c r="D21" i="5" s="1"/>
  <c r="B15" i="5"/>
  <c r="D15" i="5" s="1"/>
  <c r="B16" i="5"/>
  <c r="D16" i="5" s="1"/>
  <c r="B17" i="5"/>
  <c r="B18" i="5"/>
  <c r="D18" i="5" s="1"/>
  <c r="B19" i="5"/>
  <c r="D19" i="5" s="1"/>
  <c r="B20" i="5"/>
  <c r="D20" i="5" s="1"/>
  <c r="B14" i="5"/>
  <c r="D14" i="5" s="1"/>
  <c r="B13" i="5"/>
  <c r="C11" i="4"/>
  <c r="C12" i="4"/>
  <c r="D11" i="4"/>
  <c r="E11" i="4" s="1"/>
  <c r="D12" i="4"/>
  <c r="E12" i="4" s="1"/>
  <c r="E6" i="4"/>
  <c r="D6" i="4"/>
  <c r="C6" i="4"/>
  <c r="B6" i="4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B12" i="4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<sst xmlns="http://schemas.openxmlformats.org/spreadsheetml/2006/main" count="135" uniqueCount="118">
  <si>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</si>
  <si>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</si>
  <si>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</si>
  <si>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</si>
  <si>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</si>
  <si>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</si>
  <si>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</si>
  <si>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</si>
  <si>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</si>
  <si>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</si>
  <si>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</si>
  <si>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</si>
  <si>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</si>
  <si>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</si>
  <si>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</si>
  <si>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</si>
  <si>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</si>
  <si>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</si>
  <si>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</si>
  <si>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</si>
  <si>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</si>
  <si>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</si>
  <si>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</si>
  <si>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</si>
  <si>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</si>
  <si>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</si>
  <si>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</si>
  <si>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</si>
  <si>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</si>
  <si>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</si>
  <si>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</si>
  <si>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</si>
  <si>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</si>
  <si>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</si>
  <si>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</si>
  <si>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</si>
  <si>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</si>
  <si>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</si>
  <si>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</si>
  <si>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</si>
  <si>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</si>
  <si>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</si>
  <si>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</si>
  <si>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</si>
  <si>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</si>
  <si>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</si>
  <si>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</si>
  <si>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</si>
  <si>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</si>
  <si>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</si>
  <si>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</si>
  <si>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</si>
  <si>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</si>
  <si>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</si>
  <si>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</si>
  <si>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</si>
  <si>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</si>
  <si>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</si>
  <si>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</si>
  <si>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</si>
  <si>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</si>
  <si>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</si>
  <si>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</si>
  <si>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</si>
  <si>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</si>
  <si>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</si>
  <si>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</si>
  <si>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</si>
  <si>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</si>
  <si>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</si>
  <si>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</si>
  <si>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</si>
  <si>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</si>
  <si>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</si>
  <si>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</si>
  <si>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</si>
  <si>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</si>
  <si>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</si>
  <si>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</si>
  <si>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</si>
  <si>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</si>
  <si>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</si>
  <si>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</si>
  <si>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</si>
  <si>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</si>
  <si>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</si>
  <si>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</si>
  <si>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</si>
  <si>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</si>
  <si>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</si>
  <si>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</si>
  <si>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</si>
  <si>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</si>
  <si>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</si>
  <si>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</si>
  <si>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</si>
  <si>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</si>
  <si>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</si>
  <si>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</si>
  <si>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</si>
  <si>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</si>
  <si>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</si>
  <si>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</si>
  <si>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</si>
  <si>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</si>
  <si>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</si>
  <si>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</si>
  <si>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</si>
  <si>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</si>
  <si>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</si>
  <si>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</si>
  <si>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</si>
  <si>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</si>
  <si>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</si>
  <si>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</si>
  <si>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</si>
  <si>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Sup. Banana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</si>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</sst>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6" zoomScale="85" zoomScaleNormal="85" workbookViewId="0">
      <selection activeCell="E28" sqref="E2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C37" sqref="C37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94.9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opLeftCell="A4" zoomScale="130" zoomScaleNormal="130" workbookViewId="0">
      <selection activeCell="B9" sqref="B9"/>
    </sheetView>
  </sheetViews>
  <sheetFormatPr defaultRowHeight="15"/>
  <cols>
    <col min="1" max="1" width="33.5703125" style="2" customWidth="1"/>
    <col min="2" max="2" width="15.5703125" style="2" bestFit="1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35.144869333333332</v>
      </c>
      <c r="H4" s="19">
        <f t="shared" ref="H4:H9" si="1">G4*E4</f>
        <v>35.144869333333332</v>
      </c>
      <c r="I4" s="19">
        <f t="shared" ref="I4:I9" si="2">G4-$B$18</f>
        <v>26.358651999999999</v>
      </c>
      <c r="J4" s="19">
        <f t="shared" ref="J4:J9" si="3">I4*E4</f>
        <v>26.358651999999999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30.751760666666666</v>
      </c>
      <c r="H5" s="19">
        <f t="shared" si="1"/>
        <v>153.75880333333333</v>
      </c>
      <c r="I5" s="19">
        <f t="shared" si="2"/>
        <v>21.965543333333333</v>
      </c>
      <c r="J5" s="19">
        <f t="shared" si="3"/>
        <v>109.82771666666666</v>
      </c>
    </row>
    <row r="6" spans="1:10">
      <c r="A6" s="3" t="s">
        <v>58</v>
      </c>
      <c r="B6" s="23">
        <v>66.16</v>
      </c>
      <c r="E6" s="3">
        <v>10</v>
      </c>
      <c r="F6" s="20">
        <v>200</v>
      </c>
      <c r="G6" s="19">
        <f t="shared" si="0"/>
        <v>26.358651999999999</v>
      </c>
      <c r="H6" s="19">
        <f t="shared" si="1"/>
        <v>263.58652000000001</v>
      </c>
      <c r="I6" s="19">
        <f t="shared" si="2"/>
        <v>17.572434666666666</v>
      </c>
      <c r="J6" s="19">
        <f t="shared" si="3"/>
        <v>175.72434666666666</v>
      </c>
    </row>
    <row r="7" spans="1:10">
      <c r="A7" s="3" t="s">
        <v>59</v>
      </c>
      <c r="B7" s="23">
        <v>2.2000000000000002</v>
      </c>
      <c r="E7" s="3">
        <v>25</v>
      </c>
      <c r="F7" s="20">
        <v>150</v>
      </c>
      <c r="G7" s="19">
        <f t="shared" si="0"/>
        <v>21.965543333333333</v>
      </c>
      <c r="H7" s="19">
        <f t="shared" si="1"/>
        <v>549.13858333333337</v>
      </c>
      <c r="I7" s="19">
        <f t="shared" si="2"/>
        <v>13.179326</v>
      </c>
      <c r="J7" s="19">
        <f t="shared" si="3"/>
        <v>329.48314999999997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19.329678133333335</v>
      </c>
      <c r="H8" s="19">
        <f t="shared" si="1"/>
        <v>966.48390666666671</v>
      </c>
      <c r="I8" s="19">
        <f t="shared" si="2"/>
        <v>10.543460800000002</v>
      </c>
      <c r="J8" s="19">
        <f t="shared" si="3"/>
        <v>527.17304000000013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17.572434666666666</v>
      </c>
      <c r="H9" s="19">
        <f t="shared" si="1"/>
        <v>1757.2434666666666</v>
      </c>
      <c r="I9" s="19">
        <f t="shared" si="2"/>
        <v>8.7862173333333331</v>
      </c>
      <c r="J9" s="19">
        <f t="shared" si="3"/>
        <v>878.62173333333328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15.815191199999999</v>
      </c>
      <c r="H10" s="19">
        <f>G10*E10</f>
        <v>7907.5955999999996</v>
      </c>
      <c r="I10" s="19">
        <f>G10-$B$18</f>
        <v>7.0289738666666661</v>
      </c>
      <c r="J10" s="19">
        <f>I10*E10</f>
        <v>3514.4869333333331</v>
      </c>
    </row>
    <row r="11" spans="1:10">
      <c r="E11" s="3">
        <v>1000</v>
      </c>
      <c r="F11" s="20">
        <v>70</v>
      </c>
      <c r="G11" s="19">
        <f>$B$18*(1+F11/100)</f>
        <v>14.936569466666667</v>
      </c>
      <c r="H11" s="19">
        <f>G11*E11</f>
        <v>14936.569466666666</v>
      </c>
      <c r="I11" s="19">
        <f>G11-$B$18</f>
        <v>6.1503521333333335</v>
      </c>
      <c r="J11" s="19">
        <f>I11*E11</f>
        <v>6150.3521333333338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14.057947733333334</v>
      </c>
      <c r="H12" s="19">
        <f>G12*E12</f>
        <v>35144.869333333336</v>
      </c>
      <c r="I12" s="19">
        <f>G12-$B$18</f>
        <v>5.2717304000000009</v>
      </c>
      <c r="J12" s="19">
        <f>I12*E12</f>
        <v>13179.326000000003</v>
      </c>
    </row>
    <row r="13" spans="1:10">
      <c r="A13" s="3" t="s">
        <v>63</v>
      </c>
      <c r="B13" s="38">
        <f>B6/1000*VLOOKUP(B5,Configurações!$A$7:$B$11,2,FALSE)</f>
        <v>6.2785840000000004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0.66</v>
      </c>
    </row>
    <row r="15" spans="1:10">
      <c r="A15" s="3" t="s">
        <v>65</v>
      </c>
      <c r="B15" s="38">
        <f>VLOOKUP(B8,Configurações!$A$14:$B$22,2,FALSE)/(Configurações!$B$26*Configurações!$B$27)*B7</f>
        <v>1.8476333333333335</v>
      </c>
      <c r="E15" s="2"/>
      <c r="F15" s="2"/>
    </row>
    <row r="16" spans="1:10">
      <c r="A16" s="3" t="s">
        <v>66</v>
      </c>
      <c r="B16" s="38">
        <f>B13+B14+B15</f>
        <v>8.7862173333333331</v>
      </c>
    </row>
    <row r="17" spans="1:10">
      <c r="A17" s="3" t="s">
        <v>67</v>
      </c>
      <c r="B17" s="38">
        <f>IF(B9="SIM",B16*(1+Configurações!$B$33/100),B16)</f>
        <v>8.7862173333333331</v>
      </c>
    </row>
    <row r="18" spans="1:10">
      <c r="A18" s="3" t="s">
        <v>68</v>
      </c>
      <c r="B18" s="38">
        <f>B17</f>
        <v>8.7862173333333331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1.7572434666666665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abSelected="1" topLeftCell="A10" zoomScale="145" zoomScaleNormal="145" workbookViewId="0">
      <selection activeCell="K18" sqref="K18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Sup. Banana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35.144869333333332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30.751760666666666</v>
      </c>
      <c r="D14" s="40">
        <f>ROUNDUP(((Calculadora!B7*B14+12)/Calculadora!B10)/24,0)</f>
        <v>1</v>
      </c>
    </row>
    <row r="15" spans="2:4">
      <c r="B15" s="24">
        <f>Calculadora!E6</f>
        <v>10</v>
      </c>
      <c r="C15" s="27">
        <f>Calculadora!G6</f>
        <v>26.358651999999999</v>
      </c>
      <c r="D15" s="39">
        <f>ROUNDUP((Calculadora!B7*B15+12)/Calculadora!B10/24,0)</f>
        <v>2</v>
      </c>
    </row>
    <row r="16" spans="2:4">
      <c r="B16" s="25">
        <f>Calculadora!E7</f>
        <v>25</v>
      </c>
      <c r="C16" s="26">
        <f>Calculadora!G7</f>
        <v>21.965543333333333</v>
      </c>
      <c r="D16" s="40">
        <f>ROUNDUP((Calculadora!B7*B16+12)/Calculadora!B10/24,0)</f>
        <v>3</v>
      </c>
    </row>
    <row r="17" spans="2:4">
      <c r="B17" s="24">
        <f>Calculadora!E8</f>
        <v>50</v>
      </c>
      <c r="C17" s="27">
        <f>Calculadora!G8</f>
        <v>19.329678133333335</v>
      </c>
      <c r="D17" s="39">
        <f>ROUNDUP((Calculadora!B7*B17+12)/Calculadora!B10/24,0)</f>
        <v>6</v>
      </c>
    </row>
    <row r="18" spans="2:4">
      <c r="B18" s="25">
        <f>Calculadora!E9</f>
        <v>100</v>
      </c>
      <c r="C18" s="26">
        <f>Calculadora!G9</f>
        <v>17.572434666666666</v>
      </c>
      <c r="D18" s="40">
        <f>ROUNDUP((Calculadora!B7*B18+12)/Calculadora!B10/24,0)</f>
        <v>10</v>
      </c>
    </row>
    <row r="19" spans="2:4">
      <c r="B19" s="24">
        <f>Calculadora!E10</f>
        <v>500</v>
      </c>
      <c r="C19" s="27">
        <f>Calculadora!G10</f>
        <v>15.815191199999999</v>
      </c>
      <c r="D19" s="39">
        <f>ROUNDUP((Calculadora!B7*B19+12)/Calculadora!B10/24,0)</f>
        <v>47</v>
      </c>
    </row>
    <row r="20" spans="2:4">
      <c r="B20" s="25">
        <f>Calculadora!E11</f>
        <v>1000</v>
      </c>
      <c r="C20" s="26">
        <f>Calculadora!G11</f>
        <v>14.936569466666667</v>
      </c>
      <c r="D20" s="40">
        <f>ROUNDUP((Calculadora!B7*B20+12)/Calculadora!B10/24,0)</f>
        <v>93</v>
      </c>
    </row>
    <row r="21" spans="2:4">
      <c r="B21" s="24">
        <f>Calculadora!E12</f>
        <v>2500</v>
      </c>
      <c r="C21" s="27">
        <f>Calculadora!G12</f>
        <v>14.057947733333334</v>
      </c>
      <c r="D21" s="39">
        <f>ROUNDUP((Calculadora!B7*B21+12)/Calculadora!B10/24,0)</f>
        <v>230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2025-07-22T13:35:31Z</cp:lastPrinted>
  <dcterms:created xsi:type="dcterms:W3CDTF">2025-07-18T19:44:18Z</dcterms:created>
  <dcterms:modified xsi:type="dcterms:W3CDTF">2026-02-18T00:23:46Z</dcterms:modified>
</cp:coreProperties>
</file>