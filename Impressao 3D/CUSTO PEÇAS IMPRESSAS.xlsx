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Estudos\impressao-3D\Impressao 3D\"/>
    </mc:Choice>
  </mc:AlternateContent>
  <bookViews>
    <workbookView xWindow="0" yWindow="0" windowWidth="15345" windowHeight="4455" activeTab="3"/>
  </bookViews>
  <sheets>
    <sheet name="Instruções" sheetId="1" r:id="rId1"/>
    <sheet name="Configurações" sheetId="2" r:id="rId2"/>
    <sheet name="Calculadora" sheetId="3" r:id="rId3"/>
    <sheet name="Impressão" sheetId="5" r:id="rId4"/>
    <sheet name="Análise de Custos" sheetId="4" r:id="rId5"/>
  </sheets>
  <definedNames>
    <definedName name="_xlnm.Print_Area" localSheetId="2">Calculadora!$G$16</definedName>
    <definedName name="_xlnm.Print_Area" localSheetId="3">Impressão!$A$1:$E$29</definedName>
  </definedNames>
  <calcPr calcId="17102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5" l="1"/>
  <c r="B8" i="4"/>
  <c r="C8" i="4" s="1"/>
  <c r="D8" i="4" s="1"/>
  <c r="E8" i="4" s="1"/>
  <c r="D17" i="5"/>
  <c r="B15" i="3"/>
  <c r="B9" i="5"/>
  <c r="B21" i="5"/>
  <c r="D21" i="5" s="1"/>
  <c r="B15" i="5"/>
  <c r="D15" i="5" s="1"/>
  <c r="B16" i="5"/>
  <c r="D16" i="5" s="1"/>
  <c r="B17" i="5"/>
  <c r="B18" i="5"/>
  <c r="D18" i="5" s="1"/>
  <c r="B19" i="5"/>
  <c r="D19" i="5" s="1"/>
  <c r="B20" i="5"/>
  <c r="D20" i="5" s="1"/>
  <c r="B14" i="5"/>
  <c r="D14" i="5" s="1"/>
  <c r="B13" i="5"/>
  <c r="C11" i="4"/>
  <c r="C12" i="4"/>
  <c r="D11" i="4"/>
  <c r="E11" i="4" s="1"/>
  <c r="D12" i="4"/>
  <c r="E12" i="4" s="1"/>
  <c r="E6" i="4"/>
  <c r="D6" i="4"/>
  <c r="C6" i="4"/>
  <c r="B6" i="4"/>
  <c r="B7" i="4"/>
  <c r="C7" i="4" s="1"/>
  <c r="D7" i="4" s="1"/>
  <c r="E7" i="4" s="1"/>
  <c r="B9" i="4"/>
  <c r="C9" i="4" s="1"/>
  <c r="D9" i="4" s="1"/>
  <c r="E9" i="4" s="1"/>
  <c r="B10" i="4"/>
  <c r="C10" i="4" s="1"/>
  <c r="D10" i="4" s="1"/>
  <c r="E10" i="4" s="1"/>
  <c r="B11" i="4"/>
  <c r="B12" i="4"/>
  <c r="B13" i="4"/>
  <c r="C13" i="4" s="1"/>
  <c r="D13" i="4" s="1"/>
  <c r="E13" i="4" s="1"/>
  <c r="B14" i="4"/>
  <c r="B5" i="4"/>
  <c r="C5" i="4" s="1"/>
  <c r="D5" i="4" s="1"/>
  <c r="E5" i="4" s="1"/>
  <c r="C14" i="4"/>
  <c r="D14" i="4" s="1"/>
  <c r="E14" i="4" s="1"/>
  <c r="C22" i="4"/>
  <c r="C21" i="4"/>
  <c r="C20" i="4"/>
  <c r="C19" i="4"/>
  <c r="C18" i="4"/>
  <c r="B14" i="3"/>
  <c r="B13" i="3"/>
  <c r="B16" i="3" l="1"/>
  <c r="E18" i="4"/>
  <c r="D18" i="4"/>
  <c r="E19" i="4"/>
  <c r="D19" i="4"/>
  <c r="E20" i="4"/>
  <c r="D20" i="4"/>
  <c r="E21" i="4"/>
  <c r="D21" i="4"/>
  <c r="E22" i="4"/>
  <c r="D22" i="4"/>
  <c r="B17" i="3" l="1"/>
  <c r="B18" i="3" s="1"/>
  <c r="G6" i="3" l="1"/>
  <c r="C15" i="5" s="1"/>
  <c r="G8" i="3"/>
  <c r="G10" i="3"/>
  <c r="G12" i="3"/>
  <c r="G7" i="3"/>
  <c r="G11" i="3"/>
  <c r="G4" i="3"/>
  <c r="J20" i="3"/>
  <c r="G5" i="3"/>
  <c r="G9" i="3"/>
  <c r="H11" i="3" l="1"/>
  <c r="C20" i="5"/>
  <c r="I12" i="3"/>
  <c r="J12" i="3" s="1"/>
  <c r="C21" i="5"/>
  <c r="I4" i="3"/>
  <c r="J4" i="3" s="1"/>
  <c r="C13" i="5"/>
  <c r="H7" i="3"/>
  <c r="C16" i="5"/>
  <c r="H9" i="3"/>
  <c r="C18" i="5"/>
  <c r="I10" i="3"/>
  <c r="J10" i="3" s="1"/>
  <c r="C19" i="5"/>
  <c r="H5" i="3"/>
  <c r="C14" i="5"/>
  <c r="I8" i="3"/>
  <c r="J8" i="3" s="1"/>
  <c r="C17" i="5"/>
  <c r="I9" i="3"/>
  <c r="J9" i="3" s="1"/>
  <c r="H8" i="3"/>
  <c r="I7" i="3"/>
  <c r="J7" i="3" s="1"/>
  <c r="H10" i="3"/>
  <c r="H12" i="3"/>
  <c r="I11" i="3"/>
  <c r="J11" i="3" s="1"/>
  <c r="I5" i="3"/>
  <c r="J5" i="3" s="1"/>
  <c r="H4" i="3"/>
  <c r="H6" i="3"/>
  <c r="I6" i="3"/>
  <c r="J6" i="3" s="1"/>
</calcChain>
</file>

<file path=xl/sharedStrings.xml><?xml version="1.0" encoding="utf-8"?>
<sst xmlns="http://schemas.openxmlformats.org/spreadsheetml/2006/main" count="135" uniqueCount="118">
  <si>
    <t>INSTRUÇÕES DE USO - CALCULADORA DE IMPRESSÃO 3D</t>
  </si>
  <si>
    <t>COMO USAR ESTA PLANILHA:</t>
  </si>
  <si>
    <t>1. ABA CONFIGURAÇÕES:</t>
  </si>
  <si>
    <t xml:space="preserve">   - Ajuste os preços dos materiais conforme necessário</t>
  </si>
  <si>
    <t xml:space="preserve">   - Modifique o custo do kWh de energia elétrica</t>
  </si>
  <si>
    <t xml:space="preserve">   - Atualize os preços das impressoras Bambu Lab</t>
  </si>
  <si>
    <t xml:space="preserve">   - Configure a vida útil e horas de uso das impressoras</t>
  </si>
  <si>
    <t xml:space="preserve">   - Defina as taxas de impostos e mão de obra</t>
  </si>
  <si>
    <t>2. ABA CALCULADORA:</t>
  </si>
  <si>
    <t xml:space="preserve">   - Digite o nome do produto</t>
  </si>
  <si>
    <t xml:space="preserve">   - Selecione o material (PLA, PETG, ABS, NYLON, TPU)</t>
  </si>
  <si>
    <t xml:space="preserve">   - Informe o peso do produto em gramas</t>
  </si>
  <si>
    <t xml:space="preserve">   - Digite o tempo de impressão em horas</t>
  </si>
  <si>
    <t xml:space="preserve">   - Escolha a impressora utilizada</t>
  </si>
  <si>
    <t xml:space="preserve">   - Indique se requer mão de obra (S ou N)</t>
  </si>
  <si>
    <t>3. RESULTADOS AUTOMÁTICOS:</t>
  </si>
  <si>
    <t xml:space="preserve">   - Custo do material será calculado automaticamente</t>
  </si>
  <si>
    <t xml:space="preserve">   - Custo da energia baseado no consumo estimado</t>
  </si>
  <si>
    <t xml:space="preserve">   - Custo hora máquina baseado na depreciação</t>
  </si>
  <si>
    <t xml:space="preserve">   - Tabela de preços para diferentes quantidades</t>
  </si>
  <si>
    <t xml:space="preserve">   - Cálculo de lucro por quantidade</t>
  </si>
  <si>
    <t>4. CÁLCULO DO CUSTO HORA MÁQUINA:</t>
  </si>
  <si>
    <t xml:space="preserve">   - Baseado no preço da impressora ÷ (vida útil × horas/ano)</t>
  </si>
  <si>
    <t xml:space="preserve">   - Exemplo: A1 MINI (R$ 3.300) ÷ (3 anos × 2.000h) = R$ 0,55/hora</t>
  </si>
  <si>
    <t>5. MARGENS SUGERIDAS POR QUANTIDADE:</t>
  </si>
  <si>
    <t xml:space="preserve">   - 1 unidade: 300% (para cobrir custos fixos)</t>
  </si>
  <si>
    <t xml:space="preserve">   - 5 unidades: 250%</t>
  </si>
  <si>
    <t xml:space="preserve">   - 10 unidades: 200%</t>
  </si>
  <si>
    <t xml:space="preserve">   - 25 unidades: 150%</t>
  </si>
  <si>
    <t xml:space="preserve">   - 50 unidades: 120%</t>
  </si>
  <si>
    <t xml:space="preserve">   - 100 unidades: 100%</t>
  </si>
  <si>
    <t xml:space="preserve">   - 500+ unidades: 80-50% (produção em massa)</t>
  </si>
  <si>
    <t>6. CONSIDERAÇÕES IMPORTANTES:</t>
  </si>
  <si>
    <t xml:space="preserve">   - Consumo de energia estimado em 250W por hora</t>
  </si>
  <si>
    <t xml:space="preserve">   - Mão de obra adiciona 20% ao custo base</t>
  </si>
  <si>
    <t xml:space="preserve">   - Impostos calculados sobre o custo final</t>
  </si>
  <si>
    <t xml:space="preserve">   - Ajuste as margens conforme seu mercado</t>
  </si>
  <si>
    <t>DICAS:</t>
  </si>
  <si>
    <t>- Sempre teste seus preços no mercado</t>
  </si>
  <si>
    <t>- Considere custos indiretos (embalagem, marketing)</t>
  </si>
  <si>
    <t>- Monitore a concorrência</t>
  </si>
  <si>
    <t>- Ajuste margens conforme demanda</t>
  </si>
  <si>
    <t>CONFIGURAÇÕES GERAIS</t>
  </si>
  <si>
    <t>ENERGIA</t>
  </si>
  <si>
    <t>Custo por kWh (R$):</t>
  </si>
  <si>
    <t>IMPRESSORAS BAMBU LAB</t>
  </si>
  <si>
    <t>DEPRECIAÇÃO</t>
  </si>
  <si>
    <t>Vida útil (anos):</t>
  </si>
  <si>
    <t>Horas de uso por ano:</t>
  </si>
  <si>
    <t>IMPOSTOS E TAXAS</t>
  </si>
  <si>
    <t>Taxa de imposto (%):</t>
  </si>
  <si>
    <t>MÃO DE OBRA</t>
  </si>
  <si>
    <t>Acréscimo mão de obra (%):</t>
  </si>
  <si>
    <t>CALCULADORA DE CUSTOS E PREÇOS - IMPRESSÃO 3D</t>
  </si>
  <si>
    <t>DADOS DO PRODUTO</t>
  </si>
  <si>
    <t>Nome do produto:</t>
  </si>
  <si>
    <t>Material:</t>
  </si>
  <si>
    <t>PLA</t>
  </si>
  <si>
    <t>Peso do produto (g):</t>
  </si>
  <si>
    <t>Tempo de impressão (horas):</t>
  </si>
  <si>
    <t>Impressora utilizada:</t>
  </si>
  <si>
    <t>A1 MINI</t>
  </si>
  <si>
    <t>CÁLCULOS DE CUSTO</t>
  </si>
  <si>
    <t>Custo do material (R$):</t>
  </si>
  <si>
    <t>Custo da energia (R$):</t>
  </si>
  <si>
    <t>Custo hora máquina (R$):</t>
  </si>
  <si>
    <t>Custo total base (R$):</t>
  </si>
  <si>
    <t>Custo com mão de obra (R$):</t>
  </si>
  <si>
    <t>Custo final (R$):</t>
  </si>
  <si>
    <t>PREÇOS DE VENDA POR QUANTIDADE</t>
  </si>
  <si>
    <t>Quantidade</t>
  </si>
  <si>
    <t>Margem (%)</t>
  </si>
  <si>
    <t>Preço Unitário (R$)</t>
  </si>
  <si>
    <t>Preço Total (R$)</t>
  </si>
  <si>
    <t>Lucro Unitário (R$)</t>
  </si>
  <si>
    <t>Lucro Total (R$)</t>
  </si>
  <si>
    <t>IMPOSTOS</t>
  </si>
  <si>
    <t>Valor do imposto por unidade (R$):</t>
  </si>
  <si>
    <t>ANÁLISE DETALHADA DE CUSTOS</t>
  </si>
  <si>
    <t>CUSTO HORA MÁQUINA POR IMPRESSORA</t>
  </si>
  <si>
    <t>Impressora</t>
  </si>
  <si>
    <t>Preço (R$)</t>
  </si>
  <si>
    <t>Custo/Hora (R$)</t>
  </si>
  <si>
    <t>Custo/Dia 8h (R$)</t>
  </si>
  <si>
    <t>Custo/Mês (R$)</t>
  </si>
  <si>
    <t>A1</t>
  </si>
  <si>
    <t>P1S</t>
  </si>
  <si>
    <t>X1C</t>
  </si>
  <si>
    <t>H2D</t>
  </si>
  <si>
    <t>CUSTO POR GRAMA DE MATERIAL</t>
  </si>
  <si>
    <t>Material</t>
  </si>
  <si>
    <t>Preço/kg (R$)</t>
  </si>
  <si>
    <t>Preço/g (R$)</t>
  </si>
  <si>
    <t>Custo 50g (R$)</t>
  </si>
  <si>
    <t>Custo 100g (R$)</t>
  </si>
  <si>
    <t>PETG</t>
  </si>
  <si>
    <t>ABS</t>
  </si>
  <si>
    <t>NYLON</t>
  </si>
  <si>
    <t>TPU</t>
  </si>
  <si>
    <t>MATERIAIS</t>
  </si>
  <si>
    <t>Preço [R$/kg]</t>
  </si>
  <si>
    <t>Preço [R$/kWh]</t>
  </si>
  <si>
    <t>Preço [R$]</t>
  </si>
  <si>
    <t>DADOS</t>
  </si>
  <si>
    <t>DADOS [R$]</t>
  </si>
  <si>
    <t>A1 MINI COMBO</t>
  </si>
  <si>
    <t>A1 COMBO</t>
  </si>
  <si>
    <t>P1S COMBO</t>
  </si>
  <si>
    <t>X1C COMBO</t>
  </si>
  <si>
    <t>H2D COMBO</t>
  </si>
  <si>
    <t>Requer mão de obra? :</t>
  </si>
  <si>
    <t>Quantidade de Impressoras</t>
  </si>
  <si>
    <t>Quant. De Peças</t>
  </si>
  <si>
    <t>Prazo [Dia]</t>
  </si>
  <si>
    <t>STEPHAN COMERCIO VAREJISTA LTDA</t>
  </si>
  <si>
    <t xml:space="preserve"> Valor Unidade</t>
  </si>
  <si>
    <t>Chaveiro Kamila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</si>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</sst>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haroni"/>
      <charset val="177"/>
    </font>
    <font>
      <sz val="11"/>
      <color theme="1"/>
      <name val="Aptos Narrow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D9D9D9"/>
        <bgColor rgb="FFD9D9D9"/>
      </patternFill>
    </fill>
    <fill>
      <patternFill patternType="solid">
        <fgColor rgb="FFFF6B35"/>
        <bgColor rgb="FFFF6B35"/>
      </patternFill>
    </fill>
    <fill>
      <patternFill patternType="solid">
        <fgColor rgb="FF9C27B0"/>
        <bgColor rgb="FF9C27B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6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/>
    <xf numFmtId="0" fontId="2" fillId="0" borderId="1" xfId="0" applyFont="1" applyBorder="1"/>
    <xf numFmtId="0" fontId="2" fillId="4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44" fontId="0" fillId="0" borderId="1" xfId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44" fontId="0" fillId="0" borderId="1" xfId="1" applyFont="1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44" fontId="7" fillId="9" borderId="1" xfId="0" applyNumberFormat="1" applyFont="1" applyFill="1" applyBorder="1" applyAlignment="1">
      <alignment horizontal="center" vertical="center"/>
    </xf>
    <xf numFmtId="44" fontId="7" fillId="7" borderId="1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8" fillId="0" borderId="0" xfId="0" applyFont="1"/>
    <xf numFmtId="0" fontId="9" fillId="8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44" fontId="0" fillId="0" borderId="12" xfId="1" applyFont="1" applyBorder="1" applyAlignment="1">
      <alignment horizontal="center" vertical="center"/>
    </xf>
    <xf numFmtId="44" fontId="0" fillId="0" borderId="1" xfId="1" applyFont="1" applyBorder="1" applyAlignment="1" applyProtection="1">
      <alignment horizontal="center"/>
    </xf>
    <xf numFmtId="0" fontId="7" fillId="7" borderId="1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287043</xdr:colOff>
      <xdr:row>10</xdr:row>
      <xdr:rowOff>30170</xdr:rowOff>
    </xdr:from>
    <xdr:to>
      <xdr:col>22</xdr:col>
      <xdr:colOff>247341</xdr:colOff>
      <xdr:row>37</xdr:row>
      <xdr:rowOff>20623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798ACE-A5EF-EC67-B1A8-EDED054D0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39719" y="2349788"/>
          <a:ext cx="6624212" cy="53244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381001</xdr:colOff>
      <xdr:row>1</xdr:row>
      <xdr:rowOff>66675</xdr:rowOff>
    </xdr:from>
    <xdr:to>
      <xdr:col>1</xdr:col>
      <xdr:colOff>704851</xdr:colOff>
      <xdr:row>5</xdr:row>
      <xdr:rowOff>183604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D094E8-5388-56C1-A2EF-A6C4F2D9D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257175"/>
          <a:ext cx="933450" cy="878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showGridLines="0" showRowColHeaders="0" topLeftCell="A6" zoomScale="85" zoomScaleNormal="85" workbookViewId="0">
      <selection activeCell="E28" sqref="E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80" customWidth="1"/>
  </cols>
  <sheetData>
    <row r="1" spans="1:1" ht="18.75">
      <c r="A1" s="10" t="s">
        <v>0</v>
      </c>
    </row>
    <row r="3" spans="1:1">
      <c r="A3" s="11" t="s">
        <v>1</v>
      </c>
    </row>
    <row r="5" spans="1:1">
      <c r="A5" s="11" t="s">
        <v>2</v>
      </c>
    </row>
    <row r="6" spans="1:1">
      <c r="A6" s="6" t="s">
        <v>3</v>
      </c>
    </row>
    <row r="7" spans="1:1">
      <c r="A7" s="6" t="s">
        <v>4</v>
      </c>
    </row>
    <row r="8" spans="1:1">
      <c r="A8" s="6" t="s">
        <v>5</v>
      </c>
    </row>
    <row r="9" spans="1:1">
      <c r="A9" s="6" t="s">
        <v>6</v>
      </c>
    </row>
    <row r="10" spans="1:1">
      <c r="A10" s="6" t="s">
        <v>7</v>
      </c>
    </row>
    <row r="12" spans="1:1">
      <c r="A12" s="11" t="s">
        <v>8</v>
      </c>
    </row>
    <row r="13" spans="1:1">
      <c r="A13" s="6" t="s">
        <v>9</v>
      </c>
    </row>
    <row r="14" spans="1:1">
      <c r="A14" s="6" t="s">
        <v>10</v>
      </c>
    </row>
    <row r="15" spans="1:1">
      <c r="A15" s="6" t="s">
        <v>11</v>
      </c>
    </row>
    <row r="16" spans="1:1">
      <c r="A16" s="6" t="s">
        <v>12</v>
      </c>
    </row>
    <row r="17" spans="1:1">
      <c r="A17" s="6" t="s">
        <v>13</v>
      </c>
    </row>
    <row r="18" spans="1:1">
      <c r="A18" s="6" t="s">
        <v>14</v>
      </c>
    </row>
    <row r="20" spans="1:1">
      <c r="A20" s="11" t="s">
        <v>15</v>
      </c>
    </row>
    <row r="21" spans="1:1">
      <c r="A21" s="6" t="s">
        <v>16</v>
      </c>
    </row>
    <row r="22" spans="1:1">
      <c r="A22" s="6" t="s">
        <v>17</v>
      </c>
    </row>
    <row r="23" spans="1:1">
      <c r="A23" s="6" t="s">
        <v>18</v>
      </c>
    </row>
    <row r="24" spans="1:1">
      <c r="A24" s="6" t="s">
        <v>19</v>
      </c>
    </row>
    <row r="25" spans="1:1">
      <c r="A25" s="6" t="s">
        <v>20</v>
      </c>
    </row>
    <row r="27" spans="1:1">
      <c r="A27" s="11" t="s">
        <v>21</v>
      </c>
    </row>
    <row r="28" spans="1:1">
      <c r="A28" s="6" t="s">
        <v>22</v>
      </c>
    </row>
    <row r="29" spans="1:1">
      <c r="A29" s="6" t="s">
        <v>23</v>
      </c>
    </row>
    <row r="31" spans="1:1">
      <c r="A31" s="11" t="s">
        <v>24</v>
      </c>
    </row>
    <row r="32" spans="1:1">
      <c r="A32" s="6" t="s">
        <v>25</v>
      </c>
    </row>
    <row r="33" spans="1:1">
      <c r="A33" s="6" t="s">
        <v>26</v>
      </c>
    </row>
    <row r="34" spans="1:1">
      <c r="A34" s="6" t="s">
        <v>27</v>
      </c>
    </row>
    <row r="35" spans="1:1">
      <c r="A35" s="6" t="s">
        <v>28</v>
      </c>
    </row>
    <row r="36" spans="1:1">
      <c r="A36" s="6" t="s">
        <v>29</v>
      </c>
    </row>
    <row r="37" spans="1:1">
      <c r="A37" s="6" t="s">
        <v>30</v>
      </c>
    </row>
    <row r="38" spans="1:1">
      <c r="A38" s="6" t="s">
        <v>31</v>
      </c>
    </row>
    <row r="40" spans="1:1">
      <c r="A40" s="11" t="s">
        <v>32</v>
      </c>
    </row>
    <row r="41" spans="1:1">
      <c r="A41" s="6" t="s">
        <v>33</v>
      </c>
    </row>
    <row r="42" spans="1:1">
      <c r="A42" s="6" t="s">
        <v>34</v>
      </c>
    </row>
    <row r="43" spans="1:1">
      <c r="A43" s="6" t="s">
        <v>35</v>
      </c>
    </row>
    <row r="44" spans="1:1">
      <c r="A44" s="6" t="s">
        <v>36</v>
      </c>
    </row>
    <row r="46" spans="1:1">
      <c r="A46" s="11" t="s">
        <v>37</v>
      </c>
    </row>
    <row r="47" spans="1:1">
      <c r="A47" s="6" t="s">
        <v>38</v>
      </c>
    </row>
    <row r="48" spans="1:1">
      <c r="A48" s="6" t="s">
        <v>39</v>
      </c>
    </row>
    <row r="49" spans="1:1">
      <c r="A49" s="6" t="s">
        <v>40</v>
      </c>
    </row>
    <row r="50" spans="1:1">
      <c r="A50" s="6" t="s">
        <v>41</v>
      </c>
    </row>
  </sheetData>
  <sheetProtection algorithmName="SHA-512" hashValue="PgccRIbkkL91t0LMagUeLqqb1UIQUSPU4IjP2T0pPY8ZECCiWlDTZVXDyopfLd5UH4BDd3yskYxVGLMIse45fQ==" saltValue="PL744BMwVLmS+jYPcccoeA==" spinCount="100000" sheet="1" objects="1" scenarios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C37" sqref="C37"/>
    </sheetView>
  </sheetViews>
  <sheetFormatPr defaultRowHeight="15"/>
  <cols>
    <col min="1" max="1" width="30.5703125" style="1" bestFit="1" customWidth="1"/>
    <col min="2" max="2" width="15" style="2" bestFit="1" customWidth="1"/>
  </cols>
  <sheetData>
    <row r="1" spans="1:2" ht="19.5" thickBot="1">
      <c r="A1" s="16" t="s">
        <v>42</v>
      </c>
    </row>
    <row r="3" spans="1:2">
      <c r="A3" s="9" t="s">
        <v>43</v>
      </c>
      <c r="B3" s="14" t="s">
        <v>101</v>
      </c>
    </row>
    <row r="4" spans="1:2">
      <c r="A4" s="4" t="s">
        <v>44</v>
      </c>
      <c r="B4" s="20">
        <v>1.2</v>
      </c>
    </row>
    <row r="6" spans="1:2">
      <c r="A6" s="9" t="s">
        <v>99</v>
      </c>
      <c r="B6" s="14" t="s">
        <v>100</v>
      </c>
    </row>
    <row r="7" spans="1:2">
      <c r="A7" s="4" t="s">
        <v>57</v>
      </c>
      <c r="B7" s="22">
        <v>94.9</v>
      </c>
    </row>
    <row r="8" spans="1:2">
      <c r="A8" s="4" t="s">
        <v>95</v>
      </c>
      <c r="B8" s="22">
        <v>94.9</v>
      </c>
    </row>
    <row r="9" spans="1:2">
      <c r="A9" s="4" t="s">
        <v>96</v>
      </c>
      <c r="B9" s="22">
        <v>85</v>
      </c>
    </row>
    <row r="10" spans="1:2">
      <c r="A10" s="4" t="s">
        <v>97</v>
      </c>
      <c r="B10" s="22">
        <v>400</v>
      </c>
    </row>
    <row r="11" spans="1:2">
      <c r="A11" s="4" t="s">
        <v>98</v>
      </c>
      <c r="B11" s="22">
        <v>220</v>
      </c>
    </row>
    <row r="13" spans="1:2">
      <c r="A13" s="9" t="s">
        <v>45</v>
      </c>
      <c r="B13" s="14" t="s">
        <v>102</v>
      </c>
    </row>
    <row r="14" spans="1:2">
      <c r="A14" s="4" t="s">
        <v>61</v>
      </c>
      <c r="B14" s="21">
        <v>2159</v>
      </c>
    </row>
    <row r="15" spans="1:2">
      <c r="A15" s="4" t="s">
        <v>105</v>
      </c>
      <c r="B15" s="21">
        <v>3824</v>
      </c>
    </row>
    <row r="16" spans="1:2">
      <c r="A16" s="4" t="s">
        <v>85</v>
      </c>
      <c r="B16" s="21">
        <v>3284</v>
      </c>
    </row>
    <row r="17" spans="1:2">
      <c r="A17" s="4" t="s">
        <v>106</v>
      </c>
      <c r="B17" s="21">
        <v>5039</v>
      </c>
    </row>
    <row r="18" spans="1:2">
      <c r="A18" s="4" t="s">
        <v>86</v>
      </c>
      <c r="B18" s="21">
        <v>5800</v>
      </c>
    </row>
    <row r="19" spans="1:2">
      <c r="A19" s="4" t="s">
        <v>107</v>
      </c>
      <c r="B19" s="21">
        <v>8774</v>
      </c>
    </row>
    <row r="20" spans="1:2">
      <c r="A20" s="4" t="s">
        <v>87</v>
      </c>
      <c r="B20" s="21">
        <v>12554</v>
      </c>
    </row>
    <row r="21" spans="1:2">
      <c r="A21" s="4" t="s">
        <v>108</v>
      </c>
      <c r="B21" s="21">
        <v>14624</v>
      </c>
    </row>
    <row r="22" spans="1:2">
      <c r="A22" s="4" t="s">
        <v>88</v>
      </c>
      <c r="B22" s="21">
        <v>16100</v>
      </c>
    </row>
    <row r="23" spans="1:2">
      <c r="A23" s="4" t="s">
        <v>109</v>
      </c>
      <c r="B23" s="21">
        <v>24299</v>
      </c>
    </row>
    <row r="25" spans="1:2">
      <c r="A25" s="9" t="s">
        <v>46</v>
      </c>
    </row>
    <row r="26" spans="1:2">
      <c r="A26" s="4" t="s">
        <v>47</v>
      </c>
      <c r="B26" s="20">
        <v>3</v>
      </c>
    </row>
    <row r="27" spans="1:2">
      <c r="A27" s="4" t="s">
        <v>48</v>
      </c>
      <c r="B27" s="20">
        <v>2000</v>
      </c>
    </row>
    <row r="29" spans="1:2">
      <c r="A29" s="9" t="s">
        <v>49</v>
      </c>
    </row>
    <row r="30" spans="1:2">
      <c r="A30" s="4" t="s">
        <v>50</v>
      </c>
      <c r="B30" s="20">
        <v>20</v>
      </c>
    </row>
    <row r="32" spans="1:2">
      <c r="A32" s="9" t="s">
        <v>51</v>
      </c>
    </row>
    <row r="33" spans="1:2">
      <c r="A33" s="4" t="s">
        <v>52</v>
      </c>
      <c r="B33" s="20">
        <v>20</v>
      </c>
    </row>
  </sheetData>
  <sheetProtection algorithmName="SHA-512" hashValue="Dnooxc5TntSFKTzWZpBPQrGmbS51QI44MzZiIzM6vpT/VLrDOC3Ol6gFzo0/ESHjaVmMjjjgPrwzVwHV/TAPHg==" saltValue="059mgCaz6+H5Me0puXzrlA==" spinCount="100000" sheet="1" objects="1" scenarios="1"/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opLeftCell="A10" zoomScale="130" zoomScaleNormal="130" workbookViewId="0">
      <selection activeCell="B7" sqref="B7"/>
    </sheetView>
  </sheetViews>
  <sheetFormatPr defaultRowHeight="15"/>
  <cols>
    <col min="1" max="1" width="33.5703125" style="2" customWidth="1"/>
    <col min="2" max="2" width="15.5703125" style="2" bestFit="1" customWidth="1"/>
    <col min="3" max="3" width="18" bestFit="1" customWidth="1"/>
    <col min="4" max="4" width="85.5703125" customWidth="1"/>
    <col min="5" max="5" width="22.5703125" customWidth="1"/>
    <col min="6" max="6" width="11.85546875" bestFit="1" customWidth="1"/>
    <col min="7" max="7" width="18" bestFit="1" customWidth="1"/>
    <col min="8" max="8" width="16.85546875" bestFit="1" customWidth="1"/>
    <col min="9" max="9" width="17.7109375" bestFit="1" customWidth="1"/>
    <col min="10" max="10" width="15.140625" bestFit="1" customWidth="1"/>
  </cols>
  <sheetData>
    <row r="1" spans="1:10" ht="32.25" thickBot="1">
      <c r="A1" s="15" t="s">
        <v>53</v>
      </c>
    </row>
    <row r="2" spans="1:10" ht="30">
      <c r="E2" s="17" t="s">
        <v>69</v>
      </c>
      <c r="F2" s="2"/>
    </row>
    <row r="3" spans="1:10">
      <c r="A3" s="5" t="s">
        <v>54</v>
      </c>
      <c r="B3" s="14" t="s">
        <v>103</v>
      </c>
      <c r="E3" s="12" t="s">
        <v>70</v>
      </c>
      <c r="F3" s="12" t="s">
        <v>71</v>
      </c>
      <c r="G3" s="8" t="s">
        <v>72</v>
      </c>
      <c r="H3" s="8" t="s">
        <v>73</v>
      </c>
      <c r="I3" s="8" t="s">
        <v>74</v>
      </c>
      <c r="J3" s="8" t="s">
        <v>75</v>
      </c>
    </row>
    <row r="4" spans="1:10">
      <c r="A4" s="3" t="s">
        <v>55</v>
      </c>
      <c r="B4" s="23" t="s">
        <v>116</v>
      </c>
      <c r="E4" s="3">
        <v>1</v>
      </c>
      <c r="F4" s="20">
        <v>300</v>
      </c>
      <c r="G4" s="19">
        <f t="shared" ref="G4:G9" si="0">$B$18*(1+F4/100)</f>
        <v>13.67056</v>
      </c>
      <c r="H4" s="19">
        <f t="shared" ref="H4:H9" si="1">G4*E4</f>
        <v>13.67056</v>
      </c>
      <c r="I4" s="19">
        <f t="shared" ref="I4:I9" si="2">G4-$B$18</f>
        <v>10.25292</v>
      </c>
      <c r="J4" s="19">
        <f t="shared" ref="J4:J9" si="3">I4*E4</f>
        <v>10.25292</v>
      </c>
    </row>
    <row r="5" spans="1:10">
      <c r="A5" s="3" t="s">
        <v>56</v>
      </c>
      <c r="B5" s="23" t="s">
        <v>57</v>
      </c>
      <c r="E5" s="3">
        <v>5</v>
      </c>
      <c r="F5" s="20">
        <v>250</v>
      </c>
      <c r="G5" s="19">
        <f t="shared" si="0"/>
        <v>11.961740000000001</v>
      </c>
      <c r="H5" s="19">
        <f t="shared" si="1"/>
        <v>59.808700000000002</v>
      </c>
      <c r="I5" s="19">
        <f t="shared" si="2"/>
        <v>8.5441000000000003</v>
      </c>
      <c r="J5" s="19">
        <f t="shared" si="3"/>
        <v>42.720500000000001</v>
      </c>
    </row>
    <row r="6" spans="1:10">
      <c r="A6" s="3" t="s">
        <v>58</v>
      </c>
      <c r="B6" s="23">
        <v>18</v>
      </c>
      <c r="E6" s="3">
        <v>10</v>
      </c>
      <c r="F6" s="20">
        <v>200</v>
      </c>
      <c r="G6" s="19">
        <f t="shared" si="0"/>
        <v>10.25292</v>
      </c>
      <c r="H6" s="19">
        <f t="shared" si="1"/>
        <v>102.5292</v>
      </c>
      <c r="I6" s="19">
        <f t="shared" si="2"/>
        <v>6.8352799999999991</v>
      </c>
      <c r="J6" s="19">
        <f t="shared" si="3"/>
        <v>68.352799999999988</v>
      </c>
    </row>
    <row r="7" spans="1:10">
      <c r="A7" s="3" t="s">
        <v>59</v>
      </c>
      <c r="B7" s="23">
        <v>1</v>
      </c>
      <c r="E7" s="3">
        <v>25</v>
      </c>
      <c r="F7" s="20">
        <v>150</v>
      </c>
      <c r="G7" s="19">
        <f t="shared" si="0"/>
        <v>8.5441000000000003</v>
      </c>
      <c r="H7" s="19">
        <f t="shared" si="1"/>
        <v>213.60250000000002</v>
      </c>
      <c r="I7" s="19">
        <f t="shared" si="2"/>
        <v>5.1264599999999998</v>
      </c>
      <c r="J7" s="19">
        <f t="shared" si="3"/>
        <v>128.16149999999999</v>
      </c>
    </row>
    <row r="8" spans="1:10">
      <c r="A8" s="3" t="s">
        <v>60</v>
      </c>
      <c r="B8" s="23" t="s">
        <v>106</v>
      </c>
      <c r="E8" s="3">
        <v>50</v>
      </c>
      <c r="F8" s="20">
        <v>120</v>
      </c>
      <c r="G8" s="19">
        <f t="shared" si="0"/>
        <v>7.5188080000000008</v>
      </c>
      <c r="H8" s="19">
        <f t="shared" si="1"/>
        <v>375.94040000000007</v>
      </c>
      <c r="I8" s="19">
        <f t="shared" si="2"/>
        <v>4.1011680000000013</v>
      </c>
      <c r="J8" s="19">
        <f t="shared" si="3"/>
        <v>205.05840000000006</v>
      </c>
    </row>
    <row r="9" spans="1:10">
      <c r="A9" s="3" t="s">
        <v>110</v>
      </c>
      <c r="B9" s="23" t="s">
        <v>117</v>
      </c>
      <c r="E9" s="3">
        <v>100</v>
      </c>
      <c r="F9" s="20">
        <v>100</v>
      </c>
      <c r="G9" s="19">
        <f t="shared" si="0"/>
        <v>6.83528</v>
      </c>
      <c r="H9" s="19">
        <f t="shared" si="1"/>
        <v>683.52800000000002</v>
      </c>
      <c r="I9" s="19">
        <f t="shared" si="2"/>
        <v>3.41764</v>
      </c>
      <c r="J9" s="19">
        <f t="shared" si="3"/>
        <v>341.76400000000001</v>
      </c>
    </row>
    <row r="10" spans="1:10">
      <c r="A10" s="3" t="s">
        <v>111</v>
      </c>
      <c r="B10" s="23">
        <v>1</v>
      </c>
      <c r="E10" s="3">
        <v>500</v>
      </c>
      <c r="F10" s="20">
        <v>80</v>
      </c>
      <c r="G10" s="19">
        <f>$B$18*(1+F10/100)</f>
        <v>6.1517520000000001</v>
      </c>
      <c r="H10" s="19">
        <f>G10*E10</f>
        <v>3075.8760000000002</v>
      </c>
      <c r="I10" s="19">
        <f>G10-$B$18</f>
        <v>2.7341120000000001</v>
      </c>
      <c r="J10" s="19">
        <f>I10*E10</f>
        <v>1367.056</v>
      </c>
    </row>
    <row r="11" spans="1:10">
      <c r="E11" s="3">
        <v>1000</v>
      </c>
      <c r="F11" s="20">
        <v>70</v>
      </c>
      <c r="G11" s="19">
        <f>$B$18*(1+F11/100)</f>
        <v>5.8099879999999997</v>
      </c>
      <c r="H11" s="19">
        <f>G11*E11</f>
        <v>5809.9879999999994</v>
      </c>
      <c r="I11" s="19">
        <f>G11-$B$18</f>
        <v>2.3923479999999997</v>
      </c>
      <c r="J11" s="19">
        <f>I11*E11</f>
        <v>2392.3479999999995</v>
      </c>
    </row>
    <row r="12" spans="1:10">
      <c r="A12" s="5" t="s">
        <v>62</v>
      </c>
      <c r="B12" s="14" t="s">
        <v>104</v>
      </c>
      <c r="E12" s="3">
        <v>2500</v>
      </c>
      <c r="F12" s="20">
        <v>60</v>
      </c>
      <c r="G12" s="19">
        <f>$B$18*(1+F12/100)</f>
        <v>5.4682240000000002</v>
      </c>
      <c r="H12" s="19">
        <f>G12*E12</f>
        <v>13670.560000000001</v>
      </c>
      <c r="I12" s="19">
        <f>G12-$B$18</f>
        <v>2.0505840000000002</v>
      </c>
      <c r="J12" s="19">
        <f>I12*E12</f>
        <v>5126.46</v>
      </c>
    </row>
    <row r="13" spans="1:10">
      <c r="A13" s="3" t="s">
        <v>63</v>
      </c>
      <c r="B13" s="38">
        <f>B6/1000*VLOOKUP(B5,Configurações!$A$7:$B$11,2,FALSE)</f>
        <v>1.7081999999999999</v>
      </c>
      <c r="E13" s="36"/>
      <c r="F13" s="36"/>
      <c r="G13" s="37"/>
      <c r="H13" s="37"/>
      <c r="I13" s="37"/>
      <c r="J13" s="37"/>
    </row>
    <row r="14" spans="1:10">
      <c r="A14" s="3" t="s">
        <v>64</v>
      </c>
      <c r="B14" s="38">
        <f>B7*0.25*Configurações!$B$4</f>
        <v>0.3</v>
      </c>
    </row>
    <row r="15" spans="1:10">
      <c r="A15" s="3" t="s">
        <v>65</v>
      </c>
      <c r="B15" s="38">
        <f>VLOOKUP(B8,Configurações!$A$14:$B$22,2,FALSE)/(Configurações!$B$26*Configurações!$B$27)*B7</f>
        <v>0.83983333333333332</v>
      </c>
      <c r="E15" s="2"/>
      <c r="F15" s="2"/>
    </row>
    <row r="16" spans="1:10">
      <c r="A16" s="3" t="s">
        <v>66</v>
      </c>
      <c r="B16" s="38">
        <f>B13+B14+B15</f>
        <v>2.8480333333333334</v>
      </c>
    </row>
    <row r="17" spans="1:10">
      <c r="A17" s="3" t="s">
        <v>67</v>
      </c>
      <c r="B17" s="38">
        <f>IF(B9="SIM",B16*(1+Configurações!$B$33/100),B16)</f>
        <v>3.41764</v>
      </c>
    </row>
    <row r="18" spans="1:10">
      <c r="A18" s="3" t="s">
        <v>68</v>
      </c>
      <c r="B18" s="38">
        <f>B17</f>
        <v>3.41764</v>
      </c>
    </row>
    <row r="19" spans="1:10">
      <c r="I19" s="5" t="s">
        <v>76</v>
      </c>
      <c r="J19" s="2"/>
    </row>
    <row r="20" spans="1:10" ht="30">
      <c r="I20" s="18" t="s">
        <v>77</v>
      </c>
      <c r="J20" s="13">
        <f>B18*Configurações!$B$30/100</f>
        <v>0.68352800000000002</v>
      </c>
    </row>
  </sheetData>
  <sheetProtection algorithmName="SHA-512" hashValue="tcVjfEnPDQ0bg/DThIHu7qG+bJo+tbylMqFJoO9z+2A58WpZfm16CLjNSVBxDdXPpm52/zd4mZLaqNwsynCjPA==" saltValue="Krg4UbThQwM29b7bzLq2Pg==" spinCount="100000" sheet="1" formatCells="0" formatColumns="0" formatRows="0" insertColumns="0" insertRows="0" insertHyperlinks="0" deleteColumns="0" deleteRows="0"/>
  <dataValidations count="1">
    <dataValidation type="list" allowBlank="1" showInputMessage="1" showErrorMessage="1" sqref="B9">
      <formula1>"SIM,NÃO"</formula1>
    </dataValidation>
  </dataValidations>
  <pageMargins left="0.75" right="0.75" top="1" bottom="1" header="0.5" footer="0.5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Configurações!$A$7:$A$11</xm:f>
          </x14:formula1>
          <xm:sqref>B5</xm:sqref>
        </x14:dataValidation>
        <x14:dataValidation type="list" allowBlank="1" showInputMessage="1" showErrorMessage="1">
          <x14:formula1>
            <xm:f>Configurações!$A$14:$A$23</xm:f>
          </x14:formula1>
          <xm:sqref>B8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21"/>
  <sheetViews>
    <sheetView showGridLines="0" tabSelected="1" topLeftCell="A10" zoomScale="145" zoomScaleNormal="145" workbookViewId="0">
      <selection activeCell="C13" sqref="C13"/>
    </sheetView>
  </sheetViews>
  <sheetFormatPr defaultRowHeight="15"/>
  <cols>
    <col min="2" max="2" width="15.5703125" bestFit="1" customWidth="1"/>
    <col min="3" max="3" width="17.28515625" customWidth="1"/>
    <col min="4" max="4" width="12.5703125" customWidth="1"/>
    <col min="5" max="5" width="10.5703125" bestFit="1" customWidth="1"/>
  </cols>
  <sheetData>
    <row r="4" spans="2:4">
      <c r="C4" s="34" t="s">
        <v>114</v>
      </c>
    </row>
    <row r="8" spans="2:4" ht="15.75" thickBot="1"/>
    <row r="9" spans="2:4" ht="15.75" thickBot="1">
      <c r="B9" s="41" t="str">
        <f>Calculadora!B4</f>
        <v>Chaveiro Kamila</v>
      </c>
      <c r="C9" s="42"/>
      <c r="D9" s="43"/>
    </row>
    <row r="10" spans="2:4">
      <c r="B10" s="28"/>
      <c r="C10" s="29"/>
      <c r="D10" s="30"/>
    </row>
    <row r="11" spans="2:4">
      <c r="B11" s="31"/>
      <c r="C11" s="32"/>
      <c r="D11" s="33"/>
    </row>
    <row r="12" spans="2:4">
      <c r="B12" s="35" t="s">
        <v>112</v>
      </c>
      <c r="C12" s="35" t="s">
        <v>115</v>
      </c>
      <c r="D12" s="35" t="s">
        <v>113</v>
      </c>
    </row>
    <row r="13" spans="2:4">
      <c r="B13" s="24">
        <f>Calculadora!E4</f>
        <v>1</v>
      </c>
      <c r="C13" s="27">
        <f>Calculadora!G4</f>
        <v>13.67056</v>
      </c>
      <c r="D13" s="39">
        <f>ROUNDUP((Calculadora!B7+12)/24,0)</f>
        <v>1</v>
      </c>
    </row>
    <row r="14" spans="2:4">
      <c r="B14" s="25">
        <f>Calculadora!E5</f>
        <v>5</v>
      </c>
      <c r="C14" s="26">
        <f>Calculadora!G5</f>
        <v>11.961740000000001</v>
      </c>
      <c r="D14" s="40">
        <f>ROUNDUP(((Calculadora!B7*B14+12)/Calculadora!B10)/24,0)</f>
        <v>1</v>
      </c>
    </row>
    <row r="15" spans="2:4">
      <c r="B15" s="24">
        <f>Calculadora!E6</f>
        <v>10</v>
      </c>
      <c r="C15" s="27">
        <f>Calculadora!G6</f>
        <v>10.25292</v>
      </c>
      <c r="D15" s="39">
        <f>ROUNDUP((Calculadora!B7*B15+12)/Calculadora!B10/24,0)</f>
        <v>1</v>
      </c>
    </row>
    <row r="16" spans="2:4">
      <c r="B16" s="25">
        <f>Calculadora!E7</f>
        <v>25</v>
      </c>
      <c r="C16" s="26">
        <f>Calculadora!G7</f>
        <v>8.5441000000000003</v>
      </c>
      <c r="D16" s="40">
        <f>ROUNDUP((Calculadora!B7*B16+12)/Calculadora!B10/24,0)</f>
        <v>2</v>
      </c>
    </row>
    <row r="17" spans="2:4">
      <c r="B17" s="24">
        <f>Calculadora!E8</f>
        <v>50</v>
      </c>
      <c r="C17" s="27">
        <f>Calculadora!G8</f>
        <v>7.5188080000000008</v>
      </c>
      <c r="D17" s="39">
        <f>ROUNDUP((Calculadora!B7*B17+12)/Calculadora!B10/24,0)</f>
        <v>3</v>
      </c>
    </row>
    <row r="18" spans="2:4">
      <c r="B18" s="25">
        <f>Calculadora!E9</f>
        <v>100</v>
      </c>
      <c r="C18" s="26">
        <f>Calculadora!G9</f>
        <v>6.83528</v>
      </c>
      <c r="D18" s="40">
        <f>ROUNDUP((Calculadora!B7*B18+12)/Calculadora!B10/24,0)</f>
        <v>5</v>
      </c>
    </row>
    <row r="19" spans="2:4">
      <c r="B19" s="24">
        <f>Calculadora!E10</f>
        <v>500</v>
      </c>
      <c r="C19" s="27">
        <f>Calculadora!G10</f>
        <v>6.1517520000000001</v>
      </c>
      <c r="D19" s="39">
        <f>ROUNDUP((Calculadora!B7*B19+12)/Calculadora!B10/24,0)</f>
        <v>22</v>
      </c>
    </row>
    <row r="20" spans="2:4">
      <c r="B20" s="25">
        <f>Calculadora!E11</f>
        <v>1000</v>
      </c>
      <c r="C20" s="26">
        <f>Calculadora!G11</f>
        <v>5.8099879999999997</v>
      </c>
      <c r="D20" s="40">
        <f>ROUNDUP((Calculadora!B7*B20+12)/Calculadora!B10/24,0)</f>
        <v>43</v>
      </c>
    </row>
    <row r="21" spans="2:4">
      <c r="B21" s="24">
        <f>Calculadora!E12</f>
        <v>2500</v>
      </c>
      <c r="C21" s="27">
        <f>Calculadora!G12</f>
        <v>5.4682240000000002</v>
      </c>
      <c r="D21" s="39">
        <f>ROUNDUP((Calculadora!B7*B21+12)/Calculadora!B10/24,0)</f>
        <v>105</v>
      </c>
    </row>
  </sheetData>
  <sheetProtection algorithmName="SHA-512" hashValue="YT1Dg+QgkNL4Uqpn9DrKJsy9AcGQhkAyVBNCNn5qvJzjM+iNxB7cLnVNC8GviC58nE+osLsMvjoVxXJidX6IvA==" saltValue="afpB7w9nH0arSgs1MJUFsQ==" spinCount="100000" sheet="1" objects="1" scenarios="1"/>
  <mergeCells count="1">
    <mergeCell ref="B9:D9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  <ignoredErrors>
    <ignoredError sqref="D15:D21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B24" sqref="B24"/>
    </sheetView>
  </sheetViews>
  <sheetFormatPr defaultColWidth="9.140625" defaultRowHeight="15"/>
  <cols>
    <col min="1" max="1" width="39.5703125" style="1" bestFit="1" customWidth="1"/>
    <col min="2" max="2" width="12.85546875" style="1" bestFit="1" customWidth="1"/>
    <col min="3" max="3" width="15.140625" style="1" bestFit="1" customWidth="1"/>
    <col min="4" max="4" width="16.42578125" style="1" bestFit="1" customWidth="1"/>
    <col min="5" max="5" width="14.85546875" style="1" bestFit="1" customWidth="1"/>
    <col min="6" max="16384" width="9.140625" style="1"/>
  </cols>
  <sheetData>
    <row r="1" spans="1:5" ht="18.75">
      <c r="A1" s="7" t="s">
        <v>78</v>
      </c>
    </row>
    <row r="3" spans="1:5">
      <c r="A3" s="9" t="s">
        <v>79</v>
      </c>
    </row>
    <row r="4" spans="1:5">
      <c r="A4" s="8" t="s">
        <v>80</v>
      </c>
      <c r="B4" s="8" t="s">
        <v>81</v>
      </c>
      <c r="C4" s="8" t="s">
        <v>82</v>
      </c>
      <c r="D4" s="8" t="s">
        <v>83</v>
      </c>
      <c r="E4" s="8" t="s">
        <v>84</v>
      </c>
    </row>
    <row r="5" spans="1:5">
      <c r="A5" s="4" t="s">
        <v>61</v>
      </c>
      <c r="B5" s="13">
        <f>Configurações!B14</f>
        <v>2159</v>
      </c>
      <c r="C5" s="13">
        <f>B5/(Configurações!$B$26*Configurações!$B$27)</f>
        <v>0.35983333333333334</v>
      </c>
      <c r="D5" s="13">
        <f>C5*8</f>
        <v>2.8786666666666667</v>
      </c>
      <c r="E5" s="13">
        <f>D5*22</f>
        <v>63.330666666666666</v>
      </c>
    </row>
    <row r="6" spans="1:5">
      <c r="A6" s="4" t="s">
        <v>105</v>
      </c>
      <c r="B6" s="13">
        <f>Configurações!B15</f>
        <v>3824</v>
      </c>
      <c r="C6" s="13">
        <f>B6/(Configurações!$B$26*Configurações!$B$27)</f>
        <v>0.63733333333333331</v>
      </c>
      <c r="D6" s="13">
        <f>C6*8</f>
        <v>5.0986666666666665</v>
      </c>
      <c r="E6" s="13">
        <f t="shared" ref="E6:E12" si="0">D6*22</f>
        <v>112.17066666666666</v>
      </c>
    </row>
    <row r="7" spans="1:5">
      <c r="A7" s="4" t="s">
        <v>85</v>
      </c>
      <c r="B7" s="13">
        <f>Configurações!B16</f>
        <v>3284</v>
      </c>
      <c r="C7" s="13">
        <f>B7/(Configurações!$B$26*Configurações!$B$27)</f>
        <v>0.54733333333333334</v>
      </c>
      <c r="D7" s="13">
        <f>C7*8</f>
        <v>4.3786666666666667</v>
      </c>
      <c r="E7" s="13">
        <f t="shared" si="0"/>
        <v>96.330666666666673</v>
      </c>
    </row>
    <row r="8" spans="1:5">
      <c r="A8" s="4" t="s">
        <v>106</v>
      </c>
      <c r="B8" s="13">
        <f>Configurações!B17</f>
        <v>5039</v>
      </c>
      <c r="C8" s="13">
        <f>B8/(Configurações!$B$26*Configurações!$B$27)</f>
        <v>0.83983333333333332</v>
      </c>
      <c r="D8" s="13">
        <f t="shared" ref="D8:D12" si="1">C8*8</f>
        <v>6.7186666666666666</v>
      </c>
      <c r="E8" s="13">
        <f>D8*22</f>
        <v>147.81066666666666</v>
      </c>
    </row>
    <row r="9" spans="1:5">
      <c r="A9" s="4" t="s">
        <v>86</v>
      </c>
      <c r="B9" s="13">
        <f>Configurações!B18</f>
        <v>5800</v>
      </c>
      <c r="C9" s="13">
        <f>B9/(Configurações!$B$26*Configurações!$B$27)</f>
        <v>0.96666666666666667</v>
      </c>
      <c r="D9" s="13">
        <f t="shared" si="1"/>
        <v>7.7333333333333334</v>
      </c>
      <c r="E9" s="13">
        <f t="shared" si="0"/>
        <v>170.13333333333333</v>
      </c>
    </row>
    <row r="10" spans="1:5">
      <c r="A10" s="4" t="s">
        <v>107</v>
      </c>
      <c r="B10" s="13">
        <f>Configurações!B19</f>
        <v>8774</v>
      </c>
      <c r="C10" s="13">
        <f>B10/(Configurações!$B$26*Configurações!$B$27)</f>
        <v>1.4623333333333333</v>
      </c>
      <c r="D10" s="13">
        <f t="shared" si="1"/>
        <v>11.698666666666666</v>
      </c>
      <c r="E10" s="13">
        <f>D10*22</f>
        <v>257.37066666666664</v>
      </c>
    </row>
    <row r="11" spans="1:5">
      <c r="A11" s="4" t="s">
        <v>87</v>
      </c>
      <c r="B11" s="13">
        <f>Configurações!B20</f>
        <v>12554</v>
      </c>
      <c r="C11" s="13">
        <f>B11/(Configurações!$B$26*Configurações!$B$27)</f>
        <v>2.0923333333333334</v>
      </c>
      <c r="D11" s="13">
        <f t="shared" si="1"/>
        <v>16.738666666666667</v>
      </c>
      <c r="E11" s="13">
        <f t="shared" si="0"/>
        <v>368.25066666666669</v>
      </c>
    </row>
    <row r="12" spans="1:5">
      <c r="A12" s="4" t="s">
        <v>108</v>
      </c>
      <c r="B12" s="13">
        <f>Configurações!B21</f>
        <v>14624</v>
      </c>
      <c r="C12" s="13">
        <f>B12/(Configurações!$B$26*Configurações!$B$27)</f>
        <v>2.4373333333333331</v>
      </c>
      <c r="D12" s="13">
        <f t="shared" si="1"/>
        <v>19.498666666666665</v>
      </c>
      <c r="E12" s="13">
        <f t="shared" si="0"/>
        <v>428.9706666666666</v>
      </c>
    </row>
    <row r="13" spans="1:5">
      <c r="A13" s="4" t="s">
        <v>88</v>
      </c>
      <c r="B13" s="13">
        <f>Configurações!B22</f>
        <v>16100</v>
      </c>
      <c r="C13" s="13">
        <f>B13/(Configurações!$B$26*Configurações!$B$27)</f>
        <v>2.6833333333333331</v>
      </c>
      <c r="D13" s="13">
        <f>C13*8</f>
        <v>21.466666666666665</v>
      </c>
      <c r="E13" s="13">
        <f>D13*22</f>
        <v>472.26666666666665</v>
      </c>
    </row>
    <row r="14" spans="1:5">
      <c r="A14" s="4" t="s">
        <v>109</v>
      </c>
      <c r="B14" s="13">
        <f>Configurações!B23</f>
        <v>24299</v>
      </c>
      <c r="C14" s="13">
        <f>B14/(Configurações!$B$26*Configurações!$B$27)</f>
        <v>4.049833333333333</v>
      </c>
      <c r="D14" s="13">
        <f>C14*8</f>
        <v>32.398666666666664</v>
      </c>
      <c r="E14" s="13">
        <f>D14*22</f>
        <v>712.77066666666656</v>
      </c>
    </row>
    <row r="16" spans="1:5">
      <c r="A16" s="9" t="s">
        <v>89</v>
      </c>
    </row>
    <row r="17" spans="1:5">
      <c r="A17" s="8" t="s">
        <v>90</v>
      </c>
      <c r="B17" s="8" t="s">
        <v>91</v>
      </c>
      <c r="C17" s="8" t="s">
        <v>92</v>
      </c>
      <c r="D17" s="8" t="s">
        <v>93</v>
      </c>
      <c r="E17" s="8" t="s">
        <v>94</v>
      </c>
    </row>
    <row r="18" spans="1:5">
      <c r="A18" s="4" t="s">
        <v>57</v>
      </c>
      <c r="B18" s="13">
        <v>118.89</v>
      </c>
      <c r="C18" s="13">
        <f>B18/1000</f>
        <v>0.11889</v>
      </c>
      <c r="D18" s="13">
        <f>C18*50</f>
        <v>5.9444999999999997</v>
      </c>
      <c r="E18" s="13">
        <f>C18*100</f>
        <v>11.888999999999999</v>
      </c>
    </row>
    <row r="19" spans="1:5">
      <c r="A19" s="4" t="s">
        <v>95</v>
      </c>
      <c r="B19" s="13">
        <v>134.99</v>
      </c>
      <c r="C19" s="13">
        <f>B19/1000</f>
        <v>0.13499</v>
      </c>
      <c r="D19" s="13">
        <f>C19*50</f>
        <v>6.7495000000000003</v>
      </c>
      <c r="E19" s="13">
        <f>C19*100</f>
        <v>13.499000000000001</v>
      </c>
    </row>
    <row r="20" spans="1:5">
      <c r="A20" s="4" t="s">
        <v>96</v>
      </c>
      <c r="B20" s="13">
        <v>80</v>
      </c>
      <c r="C20" s="13">
        <f>B20/1000</f>
        <v>0.08</v>
      </c>
      <c r="D20" s="13">
        <f>C20*50</f>
        <v>4</v>
      </c>
      <c r="E20" s="13">
        <f>C20*100</f>
        <v>8</v>
      </c>
    </row>
    <row r="21" spans="1:5">
      <c r="A21" s="4" t="s">
        <v>97</v>
      </c>
      <c r="B21" s="13">
        <v>299.98</v>
      </c>
      <c r="C21" s="13">
        <f>B21/1000</f>
        <v>0.29998000000000002</v>
      </c>
      <c r="D21" s="13">
        <f>C21*50</f>
        <v>14.999000000000001</v>
      </c>
      <c r="E21" s="13">
        <f>C21*100</f>
        <v>29.998000000000001</v>
      </c>
    </row>
    <row r="22" spans="1:5">
      <c r="A22" s="4" t="s">
        <v>98</v>
      </c>
      <c r="B22" s="13">
        <v>329.19</v>
      </c>
      <c r="C22" s="13">
        <f>B22/1000</f>
        <v>0.32918999999999998</v>
      </c>
      <c r="D22" s="13">
        <f>C22*50</f>
        <v>16.459499999999998</v>
      </c>
      <c r="E22" s="13">
        <f>C22*100</f>
        <v>32.918999999999997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Instruções</vt:lpstr>
      <vt:lpstr>Configurações</vt:lpstr>
      <vt:lpstr>Calculadora</vt:lpstr>
      <vt:lpstr>Impressão</vt:lpstr>
      <vt:lpstr>Análise de Custos</vt:lpstr>
      <vt:lpstr>Calculadora!Area_de_impressao</vt:lpstr>
      <vt:lpstr>Impressão!Area_de_impressao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2025-07-22T13:35:31Z</cp:lastPrinted>
  <dcterms:created xsi:type="dcterms:W3CDTF">2025-07-18T19:44:18Z</dcterms:created>
  <dcterms:modified xsi:type="dcterms:W3CDTF">2026-02-25T18:49:31Z</dcterms:modified>
</cp:coreProperties>
</file>