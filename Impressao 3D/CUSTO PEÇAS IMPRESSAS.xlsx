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<sst xmlns="http://schemas.openxmlformats.org/spreadsheetml/2006/main" count="135" uniqueCount="118">
  <si>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</si>
  <si>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</si>
  <si>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</si>
  <si>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</si>
  <si>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</si>
  <si>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</si>
  <si>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</si>
  <si>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</si>
  <si>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</si>
  <si>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</si>
  <si>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</si>
  <si>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</si>
  <si>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</si>
  <si>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</si>
  <si>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</si>
  <si>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</si>
  <si>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</si>
  <si>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</si>
  <si>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</si>
  <si>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</si>
  <si>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</si>
  <si>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</si>
  <si>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</si>
  <si>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</si>
  <si>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</si>
  <si>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</si>
  <si>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</si>
  <si>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</si>
  <si>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</si>
  <si>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</si>
  <si>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</si>
  <si>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</si>
  <si>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</si>
  <si>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</si>
  <si>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</si>
  <si>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</si>
  <si>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</si>
  <si>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</si>
  <si>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</si>
  <si>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</si>
  <si>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</si>
  <si>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</si>
  <si>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</si>
  <si>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</si>
  <si>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</si>
  <si>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</si>
  <si>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</si>
  <si>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</si>
  <si>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</si>
  <si>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</si>
  <si>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</si>
  <si>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</si>
  <si>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</si>
  <si>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</si>
  <si>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</si>
  <si>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</si>
  <si>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</si>
  <si>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</si>
  <si>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</si>
  <si>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</si>
  <si>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</si>
  <si>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</si>
  <si>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</si>
  <si>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</si>
  <si>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</si>
  <si>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</si>
  <si>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</si>
  <si>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</si>
  <si>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</si>
  <si>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</si>
  <si>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</si>
  <si>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</si>
  <si>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</si>
  <si>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</si>
  <si>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</si>
  <si>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</si>
  <si>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</si>
  <si>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</si>
  <si>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</si>
  <si>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</si>
  <si>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</si>
  <si>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</si>
  <si>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</si>
  <si>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</si>
  <si>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</si>
  <si>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</si>
  <si>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</si>
  <si>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</si>
  <si>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</si>
  <si>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</si>
  <si>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</si>
  <si>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</si>
  <si>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</si>
  <si>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</si>
  <si>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</si>
  <si>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</si>
  <si>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</si>
  <si>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</si>
  <si>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</si>
  <si>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</si>
  <si>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</si>
  <si>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</si>
  <si>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</si>
  <si>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</si>
  <si>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</si>
  <si>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</si>
  <si>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</si>
  <si>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</si>
  <si>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</si>
  <si>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</si>
  <si>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</si>
  <si>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</si>
  <si>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</si>
  <si>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</si>
  <si>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</si>
  <si>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</si>
  <si>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Coelho Pascoa GR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</si>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</sst>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B1" zoomScale="85" zoomScaleNormal="85" workbookViewId="0">
      <selection activeCell="E28" sqref="E2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9" sqref="B9"/>
    </sheetView>
  </sheetViews>
  <sheetFormatPr defaultRowHeight="15"/>
  <cols>
    <col min="1" max="1" width="33.5703125" style="2" customWidth="1"/>
    <col min="2" max="2" width="15.5703125" style="2" bestFit="1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99.122349333333332</v>
      </c>
      <c r="H4" s="19">
        <f t="shared" ref="H4:H9" si="1">G4*E4</f>
        <v>99.122349333333332</v>
      </c>
      <c r="I4" s="19">
        <f t="shared" ref="I4:I9" si="2">G4-$B$18</f>
        <v>74.341762000000003</v>
      </c>
      <c r="J4" s="19">
        <f t="shared" ref="J4:J9" si="3">I4*E4</f>
        <v>74.341762000000003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86.732055666666668</v>
      </c>
      <c r="H5" s="19">
        <f t="shared" si="1"/>
        <v>433.66027833333334</v>
      </c>
      <c r="I5" s="19">
        <f t="shared" si="2"/>
        <v>61.951468333333338</v>
      </c>
      <c r="J5" s="19">
        <f t="shared" si="3"/>
        <v>309.75734166666666</v>
      </c>
    </row>
    <row r="6" spans="1:10">
      <c r="A6" s="3" t="s">
        <v>58</v>
      </c>
      <c r="B6" s="23">
        <v>191.46</v>
      </c>
      <c r="E6" s="3">
        <v>10</v>
      </c>
      <c r="F6" s="20">
        <v>200</v>
      </c>
      <c r="G6" s="19">
        <f t="shared" si="0"/>
        <v>74.341762000000003</v>
      </c>
      <c r="H6" s="19">
        <f t="shared" si="1"/>
        <v>743.41762000000006</v>
      </c>
      <c r="I6" s="19">
        <f t="shared" si="2"/>
        <v>49.561174666666673</v>
      </c>
      <c r="J6" s="19">
        <f t="shared" si="3"/>
        <v>495.6117466666667</v>
      </c>
    </row>
    <row r="7" spans="1:10">
      <c r="A7" s="3" t="s">
        <v>59</v>
      </c>
      <c r="B7" s="23">
        <v>5.8</v>
      </c>
      <c r="E7" s="3">
        <v>25</v>
      </c>
      <c r="F7" s="20">
        <v>150</v>
      </c>
      <c r="G7" s="19">
        <f t="shared" si="0"/>
        <v>61.951468333333331</v>
      </c>
      <c r="H7" s="19">
        <f t="shared" si="1"/>
        <v>1548.7867083333333</v>
      </c>
      <c r="I7" s="19">
        <f t="shared" si="2"/>
        <v>37.170880999999994</v>
      </c>
      <c r="J7" s="19">
        <f t="shared" si="3"/>
        <v>929.27202499999987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54.517292133333335</v>
      </c>
      <c r="H8" s="19">
        <f t="shared" si="1"/>
        <v>2725.8646066666665</v>
      </c>
      <c r="I8" s="19">
        <f t="shared" si="2"/>
        <v>29.736704800000002</v>
      </c>
      <c r="J8" s="19">
        <f t="shared" si="3"/>
        <v>1486.8352400000001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49.561174666666666</v>
      </c>
      <c r="H9" s="19">
        <f t="shared" si="1"/>
        <v>4956.1174666666666</v>
      </c>
      <c r="I9" s="19">
        <f t="shared" si="2"/>
        <v>24.780587333333333</v>
      </c>
      <c r="J9" s="19">
        <f t="shared" si="3"/>
        <v>2478.0587333333333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44.605057199999997</v>
      </c>
      <c r="H10" s="19">
        <f>G10*E10</f>
        <v>22302.528599999998</v>
      </c>
      <c r="I10" s="19">
        <f>G10-$B$18</f>
        <v>19.824469866666664</v>
      </c>
      <c r="J10" s="19">
        <f>I10*E10</f>
        <v>9912.2349333333314</v>
      </c>
    </row>
    <row r="11" spans="1:10">
      <c r="E11" s="3">
        <v>1000</v>
      </c>
      <c r="F11" s="20">
        <v>70</v>
      </c>
      <c r="G11" s="19">
        <f>$B$18*(1+F11/100)</f>
        <v>42.126998466666663</v>
      </c>
      <c r="H11" s="19">
        <f>G11*E11</f>
        <v>42126.998466666664</v>
      </c>
      <c r="I11" s="19">
        <f>G11-$B$18</f>
        <v>17.34641113333333</v>
      </c>
      <c r="J11" s="19">
        <f>I11*E11</f>
        <v>17346.411133333331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39.648939733333336</v>
      </c>
      <c r="H12" s="19">
        <f>G12*E12</f>
        <v>99122.349333333346</v>
      </c>
      <c r="I12" s="19">
        <f>G12-$B$18</f>
        <v>14.868352400000003</v>
      </c>
      <c r="J12" s="19">
        <f>I12*E12</f>
        <v>37170.881000000008</v>
      </c>
    </row>
    <row r="13" spans="1:10">
      <c r="A13" s="3" t="s">
        <v>63</v>
      </c>
      <c r="B13" s="38">
        <f>B6/1000*VLOOKUP(B5,Configurações!$A$7:$B$11,2,FALSE)</f>
        <v>18.169554000000002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1.74</v>
      </c>
    </row>
    <row r="15" spans="1:10">
      <c r="A15" s="3" t="s">
        <v>65</v>
      </c>
      <c r="B15" s="38">
        <f>VLOOKUP(B8,Configurações!$A$14:$B$22,2,FALSE)/(Configurações!$B$26*Configurações!$B$27)*B7</f>
        <v>4.8710333333333331</v>
      </c>
      <c r="E15" s="2"/>
      <c r="F15" s="2"/>
    </row>
    <row r="16" spans="1:10">
      <c r="A16" s="3" t="s">
        <v>66</v>
      </c>
      <c r="B16" s="38">
        <f>B13+B14+B15</f>
        <v>24.780587333333333</v>
      </c>
    </row>
    <row r="17" spans="1:10">
      <c r="A17" s="3" t="s">
        <v>67</v>
      </c>
      <c r="B17" s="38">
        <f>IF(B9="SIM",B16*(1+Configurações!$B$33/100),B16)</f>
        <v>24.780587333333333</v>
      </c>
    </row>
    <row r="18" spans="1:10">
      <c r="A18" s="3" t="s">
        <v>68</v>
      </c>
      <c r="B18" s="38">
        <f>B17</f>
        <v>24.780587333333333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4.9561174666666661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F16" sqref="F16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Coelho Pascoa GR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99.122349333333332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86.732055666666668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74.341762000000003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61.951468333333331</v>
      </c>
      <c r="D16" s="40">
        <f>ROUNDUP((Calculadora!B7*B16+12)/Calculadora!B10/24,0)</f>
        <v>7</v>
      </c>
    </row>
    <row r="17" spans="2:4">
      <c r="B17" s="24">
        <f>Calculadora!E8</f>
        <v>50</v>
      </c>
      <c r="C17" s="27">
        <f>Calculadora!G8</f>
        <v>54.517292133333335</v>
      </c>
      <c r="D17" s="39">
        <f>ROUNDUP((Calculadora!B7*B17+12)/Calculadora!B10/24,0)</f>
        <v>13</v>
      </c>
    </row>
    <row r="18" spans="2:4">
      <c r="B18" s="25">
        <f>Calculadora!E9</f>
        <v>100</v>
      </c>
      <c r="C18" s="26">
        <f>Calculadora!G9</f>
        <v>49.561174666666666</v>
      </c>
      <c r="D18" s="40">
        <f>ROUNDUP((Calculadora!B7*B18+12)/Calculadora!B10/24,0)</f>
        <v>25</v>
      </c>
    </row>
    <row r="19" spans="2:4">
      <c r="B19" s="24">
        <f>Calculadora!E10</f>
        <v>500</v>
      </c>
      <c r="C19" s="27">
        <f>Calculadora!G10</f>
        <v>44.605057199999997</v>
      </c>
      <c r="D19" s="39">
        <f>ROUNDUP((Calculadora!B7*B19+12)/Calculadora!B10/24,0)</f>
        <v>122</v>
      </c>
    </row>
    <row r="20" spans="2:4">
      <c r="B20" s="25">
        <f>Calculadora!E11</f>
        <v>1000</v>
      </c>
      <c r="C20" s="26">
        <f>Calculadora!G11</f>
        <v>42.126998466666663</v>
      </c>
      <c r="D20" s="40">
        <f>ROUNDUP((Calculadora!B7*B20+12)/Calculadora!B10/24,0)</f>
        <v>243</v>
      </c>
    </row>
    <row r="21" spans="2:4">
      <c r="B21" s="24">
        <f>Calculadora!E12</f>
        <v>2500</v>
      </c>
      <c r="C21" s="27">
        <f>Calculadora!G12</f>
        <v>39.648939733333336</v>
      </c>
      <c r="D21" s="39">
        <f>ROUNDUP((Calculadora!B7*B21+12)/Calculadora!B10/24,0)</f>
        <v>605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2026-03-16T12:38:01Z</dcterms:modified>
</cp:coreProperties>
</file>