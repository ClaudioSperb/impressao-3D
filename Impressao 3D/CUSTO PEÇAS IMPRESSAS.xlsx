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C12" i="4"/>
  <c r="D12" i="4"/>
  <c r="E12" i="4" s="1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<sst xmlns="http://schemas.openxmlformats.org/spreadsheetml/2006/main" count="135" uniqueCount="118">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</sst>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10.255333333333333</v>
      </c>
      <c r="H4" s="19">
        <f t="shared" ref="H4:H9" si="1">G4*E4</f>
        <v>10.255333333333333</v>
      </c>
      <c r="I4" s="19">
        <f t="shared" ref="I4:I9" si="2">G4-$B$18</f>
        <v>7.6914999999999996</v>
      </c>
      <c r="J4" s="19">
        <f t="shared" ref="J4:J9" si="3">I4*E4</f>
        <v>7.6914999999999996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8.9734166666666653</v>
      </c>
      <c r="H5" s="19">
        <f t="shared" si="1"/>
        <v>44.867083333333326</v>
      </c>
      <c r="I5" s="19">
        <f t="shared" si="2"/>
        <v>6.4095833333333321</v>
      </c>
      <c r="J5" s="19">
        <f t="shared" si="3"/>
        <v>32.047916666666659</v>
      </c>
    </row>
    <row r="6" spans="1:10">
      <c r="A6" s="3" t="s">
        <v>58</v>
      </c>
      <c r="B6" s="23">
        <v>16</v>
      </c>
      <c r="E6" s="3">
        <v>10</v>
      </c>
      <c r="F6" s="20">
        <v>200</v>
      </c>
      <c r="G6" s="19">
        <f t="shared" si="0"/>
        <v>7.6914999999999996</v>
      </c>
      <c r="H6" s="19">
        <f t="shared" si="1"/>
        <v>76.914999999999992</v>
      </c>
      <c r="I6" s="19">
        <f t="shared" si="2"/>
        <v>5.1276666666666664</v>
      </c>
      <c r="J6" s="19">
        <f t="shared" si="3"/>
        <v>51.276666666666664</v>
      </c>
    </row>
    <row r="7" spans="1:10">
      <c r="A7" s="3" t="s">
        <v>59</v>
      </c>
      <c r="B7" s="23">
        <v>1</v>
      </c>
      <c r="E7" s="3">
        <v>25</v>
      </c>
      <c r="F7" s="20">
        <v>150</v>
      </c>
      <c r="G7" s="19">
        <f t="shared" si="0"/>
        <v>6.409583333333333</v>
      </c>
      <c r="H7" s="19">
        <f t="shared" si="1"/>
        <v>160.23958333333331</v>
      </c>
      <c r="I7" s="19">
        <f t="shared" si="2"/>
        <v>3.8457499999999998</v>
      </c>
      <c r="J7" s="19">
        <f t="shared" si="3"/>
        <v>96.143749999999997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5.6404333333333332</v>
      </c>
      <c r="H8" s="19">
        <f t="shared" si="1"/>
        <v>282.02166666666665</v>
      </c>
      <c r="I8" s="19">
        <f t="shared" si="2"/>
        <v>3.0766</v>
      </c>
      <c r="J8" s="19">
        <f t="shared" si="3"/>
        <v>153.83000000000001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5.1276666666666664</v>
      </c>
      <c r="H9" s="19">
        <f t="shared" si="1"/>
        <v>512.76666666666665</v>
      </c>
      <c r="I9" s="19">
        <f t="shared" si="2"/>
        <v>2.5638333333333332</v>
      </c>
      <c r="J9" s="19">
        <f t="shared" si="3"/>
        <v>256.38333333333333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4.6148999999999996</v>
      </c>
      <c r="H10" s="19">
        <f>G10*E10</f>
        <v>2307.4499999999998</v>
      </c>
      <c r="I10" s="19">
        <f>G10-$B$18</f>
        <v>2.0510666666666664</v>
      </c>
      <c r="J10" s="19">
        <f>I10*E10</f>
        <v>1025.5333333333331</v>
      </c>
    </row>
    <row r="11" spans="1:10">
      <c r="E11" s="3">
        <v>1000</v>
      </c>
      <c r="F11" s="20">
        <v>70</v>
      </c>
      <c r="G11" s="19">
        <f>$B$18*(1+F11/100)</f>
        <v>4.3585166666666666</v>
      </c>
      <c r="H11" s="19">
        <f>G11*E11</f>
        <v>4358.5166666666664</v>
      </c>
      <c r="I11" s="19">
        <f>G11-$B$18</f>
        <v>1.7946833333333334</v>
      </c>
      <c r="J11" s="19">
        <f>I11*E11</f>
        <v>1794.6833333333334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4.1021333333333336</v>
      </c>
      <c r="H12" s="19">
        <f>G12*E12</f>
        <v>10255.333333333334</v>
      </c>
      <c r="I12" s="19">
        <f>G12-$B$18</f>
        <v>1.5383000000000004</v>
      </c>
      <c r="J12" s="19">
        <f>I12*E12</f>
        <v>3845.7500000000009</v>
      </c>
    </row>
    <row r="13" spans="1:10">
      <c r="A13" s="3" t="s">
        <v>63</v>
      </c>
      <c r="B13" s="38">
        <f>B6/1000*VLOOKUP(B5,Configurações!$A$7:$B$11,2,FALSE)</f>
        <v>1.4239999999999999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</v>
      </c>
    </row>
    <row r="15" spans="1:10">
      <c r="A15" s="3" t="s">
        <v>65</v>
      </c>
      <c r="B15" s="38">
        <f>VLOOKUP(B8,Configurações!$A$14:$B$22,2,FALSE)/(Configurações!$B$26*Configurações!$B$27)*B7</f>
        <v>0.83983333333333332</v>
      </c>
      <c r="E15" s="2"/>
      <c r="F15" s="2"/>
    </row>
    <row r="16" spans="1:10">
      <c r="A16" s="3" t="s">
        <v>66</v>
      </c>
      <c r="B16" s="38">
        <f>B13+B14+B15</f>
        <v>2.5638333333333332</v>
      </c>
    </row>
    <row r="17" spans="1:10">
      <c r="A17" s="3" t="s">
        <v>67</v>
      </c>
      <c r="B17" s="38">
        <f>IF(B9="SIM",B16*(1+Configurações!$B$33/100),B16)</f>
        <v>2.5638333333333332</v>
      </c>
    </row>
    <row r="18" spans="1:10">
      <c r="A18" s="3" t="s">
        <v>68</v>
      </c>
      <c r="B18" s="38">
        <f>B17</f>
        <v>2.5638333333333332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0.51276666666666659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10.255333333333333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8.9734166666666653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7.6914999999999996</v>
      </c>
      <c r="D15" s="39">
        <f>ROUNDUP((Calculadora!B7*B15+12)/Calculadora!B10/24,0)</f>
        <v>1</v>
      </c>
    </row>
    <row r="16" spans="2:4">
      <c r="B16" s="25">
        <f>Calculadora!E7</f>
        <v>25</v>
      </c>
      <c r="C16" s="26">
        <f>Calculadora!G7</f>
        <v>6.409583333333333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5.6404333333333332</v>
      </c>
      <c r="D17" s="39">
        <f>ROUNDUP((Calculadora!B7*B17+12)/Calculadora!B10/24,0)</f>
        <v>3</v>
      </c>
    </row>
    <row r="18" spans="2:4">
      <c r="B18" s="25">
        <f>Calculadora!E9</f>
        <v>100</v>
      </c>
      <c r="C18" s="26">
        <f>Calculadora!G9</f>
        <v>5.1276666666666664</v>
      </c>
      <c r="D18" s="40">
        <f>ROUNDUP((Calculadora!B7*B18+12)/Calculadora!B10/24,0)</f>
        <v>5</v>
      </c>
    </row>
    <row r="19" spans="2:4">
      <c r="B19" s="24">
        <f>Calculadora!E10</f>
        <v>500</v>
      </c>
      <c r="C19" s="27">
        <f>Calculadora!G10</f>
        <v>4.6148999999999996</v>
      </c>
      <c r="D19" s="39">
        <f>ROUNDUP((Calculadora!B7*B19+12)/Calculadora!B10/24,0)</f>
        <v>22</v>
      </c>
    </row>
    <row r="20" spans="2:4">
      <c r="B20" s="25">
        <f>Calculadora!E11</f>
        <v>1000</v>
      </c>
      <c r="C20" s="26">
        <f>Calculadora!G11</f>
        <v>4.3585166666666666</v>
      </c>
      <c r="D20" s="40">
        <f>ROUNDUP((Calculadora!B7*B20+12)/Calculadora!B10/24,0)</f>
        <v>43</v>
      </c>
    </row>
    <row r="21" spans="2:4">
      <c r="B21" s="24">
        <f>Calculadora!E12</f>
        <v>2500</v>
      </c>
      <c r="C21" s="27">
        <f>Calculadora!G12</f>
        <v>4.1021333333333336</v>
      </c>
      <c r="D21" s="39">
        <f>ROUNDUP((Calculadora!B7*B21+12)/Calculadora!B10/24,0)</f>
        <v>105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2026-04-25T00:55:50Z</dcterms:modified>
</cp:coreProperties>
</file>