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2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<sst xmlns="http://schemas.openxmlformats.org/spreadsheetml/2006/main" count="135" uniqueCount="118">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</sst>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10" zoomScale="130" zoomScaleNormal="130" workbookViewId="0">
      <selection activeCell="B18" sqref="B1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72.948933333333329</v>
      </c>
      <c r="H4" s="19">
        <f t="shared" ref="H4:H9" si="1">G4*E4</f>
        <v>72.948933333333329</v>
      </c>
      <c r="I4" s="19">
        <f t="shared" ref="I4:I9" si="2">G4-$B$18</f>
        <v>54.711699999999993</v>
      </c>
      <c r="J4" s="19">
        <f t="shared" ref="J4:J9" si="3">I4*E4</f>
        <v>54.711699999999993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63.830316666666661</v>
      </c>
      <c r="H5" s="19">
        <f t="shared" si="1"/>
        <v>319.15158333333329</v>
      </c>
      <c r="I5" s="19">
        <f t="shared" si="2"/>
        <v>45.593083333333325</v>
      </c>
      <c r="J5" s="19">
        <f t="shared" si="3"/>
        <v>227.96541666666661</v>
      </c>
    </row>
    <row r="6" spans="1:10">
      <c r="A6" s="3" t="s">
        <v>58</v>
      </c>
      <c r="B6" s="23">
        <v>146</v>
      </c>
      <c r="E6" s="3">
        <v>10</v>
      </c>
      <c r="F6" s="20">
        <v>200</v>
      </c>
      <c r="G6" s="19">
        <f t="shared" si="0"/>
        <v>54.711699999999993</v>
      </c>
      <c r="H6" s="19">
        <f t="shared" si="1"/>
        <v>547.11699999999996</v>
      </c>
      <c r="I6" s="19">
        <f t="shared" si="2"/>
        <v>36.474466666666657</v>
      </c>
      <c r="J6" s="19">
        <f t="shared" si="3"/>
        <v>364.7446666666666</v>
      </c>
    </row>
    <row r="7" spans="1:10">
      <c r="A7" s="3" t="s">
        <v>59</v>
      </c>
      <c r="B7" s="23">
        <v>4.5999999999999996</v>
      </c>
      <c r="E7" s="3">
        <v>25</v>
      </c>
      <c r="F7" s="20">
        <v>150</v>
      </c>
      <c r="G7" s="19">
        <f t="shared" si="0"/>
        <v>45.593083333333333</v>
      </c>
      <c r="H7" s="19">
        <f t="shared" si="1"/>
        <v>1139.8270833333333</v>
      </c>
      <c r="I7" s="19">
        <f t="shared" si="2"/>
        <v>27.35585</v>
      </c>
      <c r="J7" s="19">
        <f t="shared" si="3"/>
        <v>683.89625000000001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40.121913333333332</v>
      </c>
      <c r="H8" s="19">
        <f t="shared" si="1"/>
        <v>2006.0956666666666</v>
      </c>
      <c r="I8" s="19">
        <f t="shared" si="2"/>
        <v>21.884679999999999</v>
      </c>
      <c r="J8" s="19">
        <f t="shared" si="3"/>
        <v>1094.2339999999999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36.474466666666665</v>
      </c>
      <c r="H9" s="19">
        <f t="shared" si="1"/>
        <v>3647.4466666666663</v>
      </c>
      <c r="I9" s="19">
        <f t="shared" si="2"/>
        <v>18.237233333333332</v>
      </c>
      <c r="J9" s="19">
        <f t="shared" si="3"/>
        <v>1823.7233333333331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32.827019999999997</v>
      </c>
      <c r="H10" s="19">
        <f>G10*E10</f>
        <v>16413.509999999998</v>
      </c>
      <c r="I10" s="19">
        <f>G10-$B$18</f>
        <v>14.589786666666665</v>
      </c>
      <c r="J10" s="19">
        <f>I10*E10</f>
        <v>7294.8933333333325</v>
      </c>
    </row>
    <row r="11" spans="1:10">
      <c r="E11" s="3">
        <v>1000</v>
      </c>
      <c r="F11" s="20">
        <v>70</v>
      </c>
      <c r="G11" s="19">
        <f>$B$18*(1+F11/100)</f>
        <v>31.003296666666664</v>
      </c>
      <c r="H11" s="19">
        <f>G11*E11</f>
        <v>31003.296666666665</v>
      </c>
      <c r="I11" s="19">
        <f>G11-$B$18</f>
        <v>12.766063333333332</v>
      </c>
      <c r="J11" s="19">
        <f>I11*E11</f>
        <v>12766.063333333332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29.179573333333334</v>
      </c>
      <c r="H12" s="19">
        <f>G12*E12</f>
        <v>72948.933333333334</v>
      </c>
      <c r="I12" s="19">
        <f>G12-$B$18</f>
        <v>10.942340000000002</v>
      </c>
      <c r="J12" s="19">
        <f>I12*E12</f>
        <v>27355.850000000002</v>
      </c>
    </row>
    <row r="13" spans="1:10">
      <c r="A13" s="3" t="s">
        <v>63</v>
      </c>
      <c r="B13" s="38">
        <f>B6/1000*VLOOKUP(B5,Configurações!$A$7:$B$11,2,FALSE)</f>
        <v>12.994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1.38</v>
      </c>
    </row>
    <row r="15" spans="1:10">
      <c r="A15" s="3" t="s">
        <v>65</v>
      </c>
      <c r="B15" s="38">
        <f>VLOOKUP(B8,Configurações!$A$14:$B$22,2,FALSE)/(Configurações!$B$26*Configurações!$B$27)*B7</f>
        <v>3.8632333333333331</v>
      </c>
      <c r="E15" s="2"/>
      <c r="F15" s="2"/>
    </row>
    <row r="16" spans="1:10">
      <c r="A16" s="3" t="s">
        <v>66</v>
      </c>
      <c r="B16" s="38">
        <f>B13+B14+B15</f>
        <v>18.237233333333332</v>
      </c>
    </row>
    <row r="17" spans="1:10">
      <c r="A17" s="3" t="s">
        <v>67</v>
      </c>
      <c r="B17" s="38">
        <f>IF(B9="SIM",B16*(1+Configurações!$B$33/100),B16)</f>
        <v>18.237233333333332</v>
      </c>
    </row>
    <row r="18" spans="1:10">
      <c r="A18" s="3" t="s">
        <v>68</v>
      </c>
      <c r="B18" s="38">
        <f>B17</f>
        <v>18.237233333333332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3.6474466666666667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72.948933333333329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63.830316666666661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54.711699999999993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45.593083333333333</v>
      </c>
      <c r="D16" s="40">
        <f>ROUNDUP((Calculadora!B7*B16+12)/Calculadora!B10/24,0)</f>
        <v>6</v>
      </c>
    </row>
    <row r="17" spans="2:4">
      <c r="B17" s="24">
        <f>Calculadora!E8</f>
        <v>50</v>
      </c>
      <c r="C17" s="27">
        <f>Calculadora!G8</f>
        <v>40.121913333333332</v>
      </c>
      <c r="D17" s="39">
        <f>ROUNDUP((Calculadora!B7*B17+12)/Calculadora!B10/24,0)</f>
        <v>11</v>
      </c>
    </row>
    <row r="18" spans="2:4">
      <c r="B18" s="25">
        <f>Calculadora!E9</f>
        <v>100</v>
      </c>
      <c r="C18" s="26">
        <f>Calculadora!G9</f>
        <v>36.474466666666665</v>
      </c>
      <c r="D18" s="40">
        <f>ROUNDUP((Calculadora!B7*B18+12)/Calculadora!B10/24,0)</f>
        <v>20</v>
      </c>
    </row>
    <row r="19" spans="2:4">
      <c r="B19" s="24">
        <f>Calculadora!E10</f>
        <v>500</v>
      </c>
      <c r="C19" s="27">
        <f>Calculadora!G10</f>
        <v>32.827019999999997</v>
      </c>
      <c r="D19" s="39">
        <f>ROUNDUP((Calculadora!B7*B19+12)/Calculadora!B10/24,0)</f>
        <v>97</v>
      </c>
    </row>
    <row r="20" spans="2:4">
      <c r="B20" s="25">
        <f>Calculadora!E11</f>
        <v>1000</v>
      </c>
      <c r="C20" s="26">
        <f>Calculadora!G11</f>
        <v>31.003296666666664</v>
      </c>
      <c r="D20" s="40">
        <f>ROUNDUP((Calculadora!B7*B20+12)/Calculadora!B10/24,0)</f>
        <v>193</v>
      </c>
    </row>
    <row r="21" spans="2:4">
      <c r="B21" s="24">
        <f>Calculadora!E12</f>
        <v>2500</v>
      </c>
      <c r="C21" s="27">
        <f>Calculadora!G12</f>
        <v>29.179573333333334</v>
      </c>
      <c r="D21" s="39">
        <f>ROUNDUP((Calculadora!B7*B21+12)/Calculadora!B10/24,0)</f>
        <v>480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2026-05-17T22:18:05Z</dcterms:modified>
</cp:coreProperties>
</file>