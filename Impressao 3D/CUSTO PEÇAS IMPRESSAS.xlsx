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D17" i="5"/>
  <c r="B15" i="3"/>
  <c r="B9" i="5"/>
  <c r="B21" i="5"/>
  <c r="D21" i="5" s="1"/>
  <c r="B15" i="5"/>
  <c r="D15" i="5" s="1"/>
  <c r="B16" i="5"/>
  <c r="D16" i="5" s="1"/>
  <c r="B17" i="5"/>
  <c r="B18" i="5"/>
  <c r="D18" i="5" s="1"/>
  <c r="B19" i="5"/>
  <c r="D19" i="5" s="1"/>
  <c r="B20" i="5"/>
  <c r="D20" i="5" s="1"/>
  <c r="B14" i="5"/>
  <c r="D14" i="5" s="1"/>
  <c r="B13" i="5"/>
  <c r="C11" i="4"/>
  <c r="C12" i="4"/>
  <c r="D11" i="4"/>
  <c r="E11" i="4" s="1"/>
  <c r="D12" i="4"/>
  <c r="E12" i="4" s="1"/>
  <c r="E6" i="4"/>
  <c r="D6" i="4"/>
  <c r="C6" i="4"/>
  <c r="B6" i="4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<sst xmlns="http://schemas.openxmlformats.org/spreadsheetml/2006/main" count="135" uniqueCount="118">
  <si>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</si>
  <si>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</si>
  <si>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</si>
  <si>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</si>
  <si>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</si>
  <si>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</si>
  <si>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</si>
  <si>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</si>
  <si>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</si>
  <si>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</si>
  <si>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</si>
  <si>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</si>
  <si>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</si>
  <si>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</si>
  <si>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</si>
  <si>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</si>
  <si>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</si>
  <si>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</si>
  <si>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</si>
  <si>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</si>
  <si>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</si>
  <si>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</si>
  <si>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</si>
  <si>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</si>
  <si>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</si>
  <si>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</si>
  <si>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</si>
  <si>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</si>
  <si>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</si>
  <si>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</si>
  <si>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</si>
  <si>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</si>
  <si>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</si>
  <si>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</si>
  <si>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</si>
  <si>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</si>
  <si>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</si>
  <si>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</si>
  <si>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</si>
  <si>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</si>
  <si>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</si>
  <si>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</si>
  <si>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</si>
  <si>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</si>
  <si>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</si>
  <si>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</si>
  <si>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</si>
  <si>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</si>
  <si>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</si>
  <si>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</si>
  <si>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</si>
  <si>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</si>
  <si>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</si>
  <si>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</si>
  <si>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</si>
  <si>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</si>
  <si>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</si>
  <si>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</si>
  <si>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</si>
  <si>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</si>
  <si>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</si>
  <si>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</si>
  <si>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</si>
  <si>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</si>
  <si>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</si>
  <si>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</si>
  <si>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</si>
  <si>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</si>
  <si>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</si>
  <si>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</si>
  <si>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</si>
  <si>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</si>
  <si>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</si>
  <si>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</si>
  <si>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</si>
  <si>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</si>
  <si>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</si>
  <si>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</si>
  <si>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</si>
  <si>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</si>
  <si>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</si>
  <si>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</si>
  <si>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</si>
  <si>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</si>
  <si>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</si>
  <si>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</si>
  <si>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</si>
  <si>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</si>
  <si>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</si>
  <si>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</si>
  <si>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</si>
  <si>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</si>
  <si>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</si>
  <si>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</si>
  <si>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</si>
  <si>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</si>
  <si>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</si>
  <si>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</si>
  <si>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</si>
  <si>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</si>
  <si>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</si>
  <si>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</si>
  <si>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</si>
  <si>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</si>
  <si>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</si>
  <si>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</si>
  <si>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</si>
  <si>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</si>
  <si>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</si>
  <si>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</si>
  <si>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</si>
  <si>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</si>
  <si>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</si>
  <si>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</si>
  <si>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</si>
  <si>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</si>
  <si>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NÃO</t>
  </si>
  <si>
    <t>Coelho Pascoa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</si>
</sst>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abSelected="1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topLeftCell="A4" workbookViewId="0">
      <selection activeCell="C37" sqref="C37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94.9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13" sqref="B13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117</v>
      </c>
      <c r="E4" s="3">
        <v>1</v>
      </c>
      <c r="F4" s="20">
        <v>300</v>
      </c>
      <c r="G4" s="19">
        <f t="shared" ref="G4:G9" si="0">$B$18*(1+F4/100)</f>
        <v>75.758045333333342</v>
      </c>
      <c r="H4" s="19">
        <f t="shared" ref="H4:H9" si="1">G4*E4</f>
        <v>75.758045333333342</v>
      </c>
      <c r="I4" s="19">
        <f t="shared" ref="I4:I9" si="2">G4-$B$18</f>
        <v>56.818534000000007</v>
      </c>
      <c r="J4" s="19">
        <f t="shared" ref="J4:J9" si="3">I4*E4</f>
        <v>56.818534000000007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66.288289666666671</v>
      </c>
      <c r="H5" s="19">
        <f t="shared" si="1"/>
        <v>331.44144833333337</v>
      </c>
      <c r="I5" s="19">
        <f t="shared" si="2"/>
        <v>47.348778333333335</v>
      </c>
      <c r="J5" s="19">
        <f t="shared" si="3"/>
        <v>236.74389166666668</v>
      </c>
    </row>
    <row r="6" spans="1:10">
      <c r="A6" s="3" t="s">
        <v>58</v>
      </c>
      <c r="B6" s="23">
        <v>140.72</v>
      </c>
      <c r="E6" s="3">
        <v>10</v>
      </c>
      <c r="F6" s="20">
        <v>200</v>
      </c>
      <c r="G6" s="19">
        <f t="shared" si="0"/>
        <v>56.818534000000007</v>
      </c>
      <c r="H6" s="19">
        <f t="shared" si="1"/>
        <v>568.18534000000011</v>
      </c>
      <c r="I6" s="19">
        <f t="shared" si="2"/>
        <v>37.879022666666671</v>
      </c>
      <c r="J6" s="19">
        <f t="shared" si="3"/>
        <v>378.79022666666674</v>
      </c>
    </row>
    <row r="7" spans="1:10">
      <c r="A7" s="3" t="s">
        <v>59</v>
      </c>
      <c r="B7" s="23">
        <v>4.9000000000000004</v>
      </c>
      <c r="E7" s="3">
        <v>25</v>
      </c>
      <c r="F7" s="20">
        <v>150</v>
      </c>
      <c r="G7" s="19">
        <f t="shared" si="0"/>
        <v>47.348778333333343</v>
      </c>
      <c r="H7" s="19">
        <f t="shared" si="1"/>
        <v>1183.7194583333335</v>
      </c>
      <c r="I7" s="19">
        <f t="shared" si="2"/>
        <v>28.409267000000007</v>
      </c>
      <c r="J7" s="19">
        <f t="shared" si="3"/>
        <v>710.23167500000022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41.666924933333341</v>
      </c>
      <c r="H8" s="19">
        <f t="shared" si="1"/>
        <v>2083.346246666667</v>
      </c>
      <c r="I8" s="19">
        <f t="shared" si="2"/>
        <v>22.727413600000006</v>
      </c>
      <c r="J8" s="19">
        <f t="shared" si="3"/>
        <v>1136.3706800000002</v>
      </c>
    </row>
    <row r="9" spans="1:10">
      <c r="A9" s="3" t="s">
        <v>110</v>
      </c>
      <c r="B9" s="23" t="s">
        <v>116</v>
      </c>
      <c r="E9" s="3">
        <v>100</v>
      </c>
      <c r="F9" s="20">
        <v>100</v>
      </c>
      <c r="G9" s="19">
        <f t="shared" si="0"/>
        <v>37.879022666666671</v>
      </c>
      <c r="H9" s="19">
        <f t="shared" si="1"/>
        <v>3787.9022666666669</v>
      </c>
      <c r="I9" s="19">
        <f t="shared" si="2"/>
        <v>18.939511333333336</v>
      </c>
      <c r="J9" s="19">
        <f t="shared" si="3"/>
        <v>1893.9511333333335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34.091120400000008</v>
      </c>
      <c r="H10" s="19">
        <f>G10*E10</f>
        <v>17045.560200000004</v>
      </c>
      <c r="I10" s="19">
        <f>G10-$B$18</f>
        <v>15.151609066666673</v>
      </c>
      <c r="J10" s="19">
        <f>I10*E10</f>
        <v>7575.8045333333366</v>
      </c>
    </row>
    <row r="11" spans="1:10">
      <c r="E11" s="3">
        <v>1000</v>
      </c>
      <c r="F11" s="20">
        <v>70</v>
      </c>
      <c r="G11" s="19">
        <f>$B$18*(1+F11/100)</f>
        <v>32.19716926666667</v>
      </c>
      <c r="H11" s="19">
        <f>G11*E11</f>
        <v>32197.169266666671</v>
      </c>
      <c r="I11" s="19">
        <f>G11-$B$18</f>
        <v>13.257657933333334</v>
      </c>
      <c r="J11" s="19">
        <f>I11*E11</f>
        <v>13257.657933333334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30.303218133333338</v>
      </c>
      <c r="H12" s="19">
        <f>G12*E12</f>
        <v>75758.045333333343</v>
      </c>
      <c r="I12" s="19">
        <f>G12-$B$18</f>
        <v>11.363706800000003</v>
      </c>
      <c r="J12" s="19">
        <f>I12*E12</f>
        <v>28409.267000000007</v>
      </c>
    </row>
    <row r="13" spans="1:10">
      <c r="A13" s="3" t="s">
        <v>63</v>
      </c>
      <c r="B13" s="38">
        <f>B6/1000*VLOOKUP(B5,Configurações!$A$7:$B$11,2,FALSE)</f>
        <v>13.354328000000002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1.47</v>
      </c>
    </row>
    <row r="15" spans="1:10">
      <c r="A15" s="3" t="s">
        <v>65</v>
      </c>
      <c r="B15" s="38">
        <f>VLOOKUP(B8,Configurações!$A$14:$B$22,2,FALSE)/(Configurações!$B$26*Configurações!$B$27)*B7</f>
        <v>4.1151833333333334</v>
      </c>
      <c r="E15" s="2"/>
      <c r="F15" s="2"/>
    </row>
    <row r="16" spans="1:10">
      <c r="A16" s="3" t="s">
        <v>66</v>
      </c>
      <c r="B16" s="38">
        <f>B13+B14+B15</f>
        <v>18.939511333333336</v>
      </c>
    </row>
    <row r="17" spans="1:10">
      <c r="A17" s="3" t="s">
        <v>67</v>
      </c>
      <c r="B17" s="38">
        <f>IF(B9="SIM",B16*(1+Configurações!$B$33/100),B16)</f>
        <v>18.939511333333336</v>
      </c>
    </row>
    <row r="18" spans="1:10">
      <c r="A18" s="3" t="s">
        <v>68</v>
      </c>
      <c r="B18" s="38">
        <f>B17</f>
        <v>18.939511333333336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3.7879022666666673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F16" sqref="F16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Coelho Pascoa Medio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75.758045333333342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66.288289666666671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56.818534000000007</v>
      </c>
      <c r="D15" s="39">
        <f>ROUNDUP((Calculadora!B7*B15+12)/Calculadora!B10/24,0)</f>
        <v>3</v>
      </c>
    </row>
    <row r="16" spans="2:4">
      <c r="B16" s="25">
        <f>Calculadora!E7</f>
        <v>25</v>
      </c>
      <c r="C16" s="26">
        <f>Calculadora!G7</f>
        <v>47.348778333333343</v>
      </c>
      <c r="D16" s="40">
        <f>ROUNDUP((Calculadora!B7*B16+12)/Calculadora!B10/24,0)</f>
        <v>6</v>
      </c>
    </row>
    <row r="17" spans="2:4">
      <c r="B17" s="24">
        <f>Calculadora!E8</f>
        <v>50</v>
      </c>
      <c r="C17" s="27">
        <f>Calculadora!G8</f>
        <v>41.666924933333341</v>
      </c>
      <c r="D17" s="39">
        <f>ROUNDUP((Calculadora!B7*B17+12)/Calculadora!B10/24,0)</f>
        <v>11</v>
      </c>
    </row>
    <row r="18" spans="2:4">
      <c r="B18" s="25">
        <f>Calculadora!E9</f>
        <v>100</v>
      </c>
      <c r="C18" s="26">
        <f>Calculadora!G9</f>
        <v>37.879022666666671</v>
      </c>
      <c r="D18" s="40">
        <f>ROUNDUP((Calculadora!B7*B18+12)/Calculadora!B10/24,0)</f>
        <v>21</v>
      </c>
    </row>
    <row r="19" spans="2:4">
      <c r="B19" s="24">
        <f>Calculadora!E10</f>
        <v>500</v>
      </c>
      <c r="C19" s="27">
        <f>Calculadora!G10</f>
        <v>34.091120400000008</v>
      </c>
      <c r="D19" s="39">
        <f>ROUNDUP((Calculadora!B7*B19+12)/Calculadora!B10/24,0)</f>
        <v>103</v>
      </c>
    </row>
    <row r="20" spans="2:4">
      <c r="B20" s="25">
        <f>Calculadora!E11</f>
        <v>1000</v>
      </c>
      <c r="C20" s="26">
        <f>Calculadora!G11</f>
        <v>32.19716926666667</v>
      </c>
      <c r="D20" s="40">
        <f>ROUNDUP((Calculadora!B7*B20+12)/Calculadora!B10/24,0)</f>
        <v>205</v>
      </c>
    </row>
    <row r="21" spans="2:4">
      <c r="B21" s="24">
        <f>Calculadora!E12</f>
        <v>2500</v>
      </c>
      <c r="C21" s="27">
        <f>Calculadora!G12</f>
        <v>30.303218133333338</v>
      </c>
      <c r="D21" s="39">
        <f>ROUNDUP((Calculadora!B7*B21+12)/Calculadora!B10/24,0)</f>
        <v>511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2026-03-16T14:24:19Z</dcterms:modified>
</cp:coreProperties>
</file>