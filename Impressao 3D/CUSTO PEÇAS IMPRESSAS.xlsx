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activeTab="2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C12" i="4"/>
  <c r="D12" i="4"/>
  <c r="E12" i="4" s="1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<sst xmlns="http://schemas.openxmlformats.org/spreadsheetml/2006/main" count="135" uniqueCount="118">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</sst>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topLeftCell="A4" zoomScale="130" zoomScaleNormal="130" workbookViewId="0">
      <selection activeCell="B13" sqref="B13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38.242000000000004</v>
      </c>
      <c r="H4" s="19">
        <f t="shared" ref="H4:H9" si="1">G4*E4</f>
        <v>38.242000000000004</v>
      </c>
      <c r="I4" s="19">
        <f t="shared" ref="I4:I9" si="2">G4-$B$18</f>
        <v>28.681500000000003</v>
      </c>
      <c r="J4" s="19">
        <f t="shared" ref="J4:J9" si="3">I4*E4</f>
        <v>28.681500000000003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33.461750000000002</v>
      </c>
      <c r="H5" s="19">
        <f t="shared" si="1"/>
        <v>167.30875</v>
      </c>
      <c r="I5" s="19">
        <f t="shared" si="2"/>
        <v>23.901250000000001</v>
      </c>
      <c r="J5" s="19">
        <f t="shared" si="3"/>
        <v>119.50625000000001</v>
      </c>
    </row>
    <row r="6" spans="1:10">
      <c r="A6" s="3" t="s">
        <v>58</v>
      </c>
      <c r="B6" s="23">
        <v>69</v>
      </c>
      <c r="E6" s="3">
        <v>10</v>
      </c>
      <c r="F6" s="20">
        <v>200</v>
      </c>
      <c r="G6" s="19">
        <f t="shared" si="0"/>
        <v>28.681500000000003</v>
      </c>
      <c r="H6" s="19">
        <f t="shared" si="1"/>
        <v>286.81500000000005</v>
      </c>
      <c r="I6" s="19">
        <f t="shared" si="2"/>
        <v>19.121000000000002</v>
      </c>
      <c r="J6" s="19">
        <f t="shared" si="3"/>
        <v>191.21000000000004</v>
      </c>
    </row>
    <row r="7" spans="1:10">
      <c r="A7" s="3" t="s">
        <v>59</v>
      </c>
      <c r="B7" s="23">
        <v>3</v>
      </c>
      <c r="E7" s="3">
        <v>25</v>
      </c>
      <c r="F7" s="20">
        <v>150</v>
      </c>
      <c r="G7" s="19">
        <f t="shared" si="0"/>
        <v>23.901250000000005</v>
      </c>
      <c r="H7" s="19">
        <f t="shared" si="1"/>
        <v>597.53125000000011</v>
      </c>
      <c r="I7" s="19">
        <f t="shared" si="2"/>
        <v>14.340750000000003</v>
      </c>
      <c r="J7" s="19">
        <f t="shared" si="3"/>
        <v>358.51875000000007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21.033100000000005</v>
      </c>
      <c r="H8" s="19">
        <f t="shared" si="1"/>
        <v>1051.6550000000002</v>
      </c>
      <c r="I8" s="19">
        <f t="shared" si="2"/>
        <v>11.472600000000003</v>
      </c>
      <c r="J8" s="19">
        <f t="shared" si="3"/>
        <v>573.63000000000022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19.121000000000002</v>
      </c>
      <c r="H9" s="19">
        <f t="shared" si="1"/>
        <v>1912.1000000000001</v>
      </c>
      <c r="I9" s="19">
        <f t="shared" si="2"/>
        <v>9.5605000000000011</v>
      </c>
      <c r="J9" s="19">
        <f t="shared" si="3"/>
        <v>956.05000000000007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17.208900000000003</v>
      </c>
      <c r="H10" s="19">
        <f>G10*E10</f>
        <v>8604.4500000000025</v>
      </c>
      <c r="I10" s="19">
        <f>G10-$B$18</f>
        <v>7.6484000000000023</v>
      </c>
      <c r="J10" s="19">
        <f>I10*E10</f>
        <v>3824.2000000000012</v>
      </c>
    </row>
    <row r="11" spans="1:10">
      <c r="E11" s="3">
        <v>1000</v>
      </c>
      <c r="F11" s="20">
        <v>70</v>
      </c>
      <c r="G11" s="19">
        <f>$B$18*(1+F11/100)</f>
        <v>16.252850000000002</v>
      </c>
      <c r="H11" s="19">
        <f>G11*E11</f>
        <v>16252.850000000002</v>
      </c>
      <c r="I11" s="19">
        <f>G11-$B$18</f>
        <v>6.6923500000000011</v>
      </c>
      <c r="J11" s="19">
        <f>I11*E11</f>
        <v>6692.3500000000013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15.296800000000003</v>
      </c>
      <c r="H12" s="19">
        <f>G12*E12</f>
        <v>38242.000000000007</v>
      </c>
      <c r="I12" s="19">
        <f>G12-$B$18</f>
        <v>5.7363000000000017</v>
      </c>
      <c r="J12" s="19">
        <f>I12*E12</f>
        <v>14340.750000000004</v>
      </c>
    </row>
    <row r="13" spans="1:10">
      <c r="A13" s="3" t="s">
        <v>63</v>
      </c>
      <c r="B13" s="38">
        <f>B6/1000*VLOOKUP(B5,Configurações!$A$7:$B$11,2,FALSE)</f>
        <v>6.1410000000000009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0.89999999999999991</v>
      </c>
    </row>
    <row r="15" spans="1:10">
      <c r="A15" s="3" t="s">
        <v>65</v>
      </c>
      <c r="B15" s="38">
        <f>VLOOKUP(B8,Configurações!$A$14:$B$22,2,FALSE)/(Configurações!$B$26*Configurações!$B$27)*B7</f>
        <v>2.5194999999999999</v>
      </c>
      <c r="E15" s="2"/>
      <c r="F15" s="2"/>
    </row>
    <row r="16" spans="1:10">
      <c r="A16" s="3" t="s">
        <v>66</v>
      </c>
      <c r="B16" s="38">
        <f>B13+B14+B15</f>
        <v>9.5605000000000011</v>
      </c>
    </row>
    <row r="17" spans="1:10">
      <c r="A17" s="3" t="s">
        <v>67</v>
      </c>
      <c r="B17" s="38">
        <f>IF(B9="SIM",B16*(1+Configurações!$B$33/100),B16)</f>
        <v>9.5605000000000011</v>
      </c>
    </row>
    <row r="18" spans="1:10">
      <c r="A18" s="3" t="s">
        <v>68</v>
      </c>
      <c r="B18" s="38">
        <f>B17</f>
        <v>9.5605000000000011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1.9121000000000004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38.242000000000004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33.461750000000002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28.681500000000003</v>
      </c>
      <c r="D15" s="39">
        <f>ROUNDUP((Calculadora!B7*B15+12)/Calculadora!B10/24,0)</f>
        <v>2</v>
      </c>
    </row>
    <row r="16" spans="2:4">
      <c r="B16" s="25">
        <f>Calculadora!E7</f>
        <v>25</v>
      </c>
      <c r="C16" s="26">
        <f>Calculadora!G7</f>
        <v>23.901250000000005</v>
      </c>
      <c r="D16" s="40">
        <f>ROUNDUP((Calculadora!B7*B16+12)/Calculadora!B10/24,0)</f>
        <v>4</v>
      </c>
    </row>
    <row r="17" spans="2:4">
      <c r="B17" s="24">
        <f>Calculadora!E8</f>
        <v>50</v>
      </c>
      <c r="C17" s="27">
        <f>Calculadora!G8</f>
        <v>21.033100000000005</v>
      </c>
      <c r="D17" s="39">
        <f>ROUNDUP((Calculadora!B7*B17+12)/Calculadora!B10/24,0)</f>
        <v>7</v>
      </c>
    </row>
    <row r="18" spans="2:4">
      <c r="B18" s="25">
        <f>Calculadora!E9</f>
        <v>100</v>
      </c>
      <c r="C18" s="26">
        <f>Calculadora!G9</f>
        <v>19.121000000000002</v>
      </c>
      <c r="D18" s="40">
        <f>ROUNDUP((Calculadora!B7*B18+12)/Calculadora!B10/24,0)</f>
        <v>13</v>
      </c>
    </row>
    <row r="19" spans="2:4">
      <c r="B19" s="24">
        <f>Calculadora!E10</f>
        <v>500</v>
      </c>
      <c r="C19" s="27">
        <f>Calculadora!G10</f>
        <v>17.208900000000003</v>
      </c>
      <c r="D19" s="39">
        <f>ROUNDUP((Calculadora!B7*B19+12)/Calculadora!B10/24,0)</f>
        <v>63</v>
      </c>
    </row>
    <row r="20" spans="2:4">
      <c r="B20" s="25">
        <f>Calculadora!E11</f>
        <v>1000</v>
      </c>
      <c r="C20" s="26">
        <f>Calculadora!G11</f>
        <v>16.252850000000002</v>
      </c>
      <c r="D20" s="40">
        <f>ROUNDUP((Calculadora!B7*B20+12)/Calculadora!B10/24,0)</f>
        <v>126</v>
      </c>
    </row>
    <row r="21" spans="2:4">
      <c r="B21" s="24">
        <f>Calculadora!E12</f>
        <v>2500</v>
      </c>
      <c r="C21" s="27">
        <f>Calculadora!G12</f>
        <v>15.296800000000003</v>
      </c>
      <c r="D21" s="39">
        <f>ROUNDUP((Calculadora!B7*B21+12)/Calculadora!B10/24,0)</f>
        <v>313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2026-04-23T11:12:48Z</dcterms:modified>
</cp:coreProperties>
</file>